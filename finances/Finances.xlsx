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an/Desktop/excel/"/>
    </mc:Choice>
  </mc:AlternateContent>
  <xr:revisionPtr revIDLastSave="0" documentId="13_ncr:1_{D6CD9710-3209-5D43-BDA6-CF764C891CC1}" xr6:coauthVersionLast="47" xr6:coauthVersionMax="47" xr10:uidLastSave="{00000000-0000-0000-0000-000000000000}"/>
  <bookViews>
    <workbookView xWindow="0" yWindow="660" windowWidth="34560" windowHeight="17680" xr2:uid="{08E99B12-1A82-F44F-B6AB-7C7299A6A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" i="1" l="1"/>
  <c r="X35" i="1" s="1"/>
  <c r="Y35" i="1"/>
  <c r="S35" i="1"/>
  <c r="T35" i="1" s="1"/>
  <c r="U35" i="1"/>
  <c r="K35" i="1"/>
  <c r="L35" i="1" s="1"/>
  <c r="M35" i="1"/>
  <c r="G35" i="1"/>
  <c r="H35" i="1" s="1"/>
  <c r="I35" i="1"/>
  <c r="C35" i="1"/>
  <c r="D35" i="1" s="1"/>
  <c r="E35" i="1"/>
  <c r="AA35" i="1"/>
  <c r="AB35" i="1" s="1"/>
  <c r="Z35" i="1"/>
  <c r="AA34" i="1"/>
  <c r="AB34" i="1" s="1"/>
  <c r="W34" i="1"/>
  <c r="X34" i="1" s="1"/>
  <c r="Y34" i="1"/>
  <c r="S34" i="1"/>
  <c r="T34" i="1" s="1"/>
  <c r="U34" i="1"/>
  <c r="O34" i="1"/>
  <c r="P34" i="1" s="1"/>
  <c r="Q34" i="1"/>
  <c r="K34" i="1"/>
  <c r="L34" i="1" s="1"/>
  <c r="M34" i="1"/>
  <c r="G34" i="1"/>
  <c r="H34" i="1"/>
  <c r="I34" i="1"/>
  <c r="C34" i="1"/>
  <c r="D34" i="1" s="1"/>
  <c r="E34" i="1"/>
  <c r="Z34" i="1"/>
  <c r="W33" i="1"/>
  <c r="X33" i="1"/>
  <c r="Y33" i="1"/>
  <c r="S33" i="1"/>
  <c r="T33" i="1" s="1"/>
  <c r="U33" i="1"/>
  <c r="O33" i="1"/>
  <c r="P33" i="1" s="1"/>
  <c r="Q33" i="1"/>
  <c r="K33" i="1"/>
  <c r="L33" i="1" s="1"/>
  <c r="M33" i="1"/>
  <c r="G33" i="1"/>
  <c r="H33" i="1" s="1"/>
  <c r="I33" i="1"/>
  <c r="C33" i="1"/>
  <c r="D33" i="1" s="1"/>
  <c r="E33" i="1"/>
  <c r="Z33" i="1"/>
  <c r="AA33" i="1" s="1"/>
  <c r="AB33" i="1" s="1"/>
  <c r="Z32" i="1"/>
  <c r="AA32" i="1" s="1"/>
  <c r="AB32" i="1" s="1"/>
  <c r="W32" i="1"/>
  <c r="X32" i="1" s="1"/>
  <c r="Y32" i="1"/>
  <c r="S32" i="1"/>
  <c r="T32" i="1" s="1"/>
  <c r="U32" i="1"/>
  <c r="O32" i="1"/>
  <c r="P32" i="1" s="1"/>
  <c r="Q32" i="1"/>
  <c r="K32" i="1"/>
  <c r="L32" i="1" s="1"/>
  <c r="M32" i="1"/>
  <c r="G32" i="1"/>
  <c r="H32" i="1"/>
  <c r="C32" i="1"/>
  <c r="D32" i="1" s="1"/>
  <c r="E32" i="1"/>
  <c r="W31" i="1"/>
  <c r="X31" i="1" s="1"/>
  <c r="S31" i="1"/>
  <c r="T31" i="1" s="1"/>
  <c r="O31" i="1"/>
  <c r="P31" i="1" s="1"/>
  <c r="K31" i="1"/>
  <c r="L31" i="1" s="1"/>
  <c r="G31" i="1"/>
  <c r="H31" i="1" s="1"/>
  <c r="C31" i="1"/>
  <c r="D31" i="1" s="1"/>
  <c r="Z31" i="1"/>
  <c r="AA31" i="1" s="1"/>
  <c r="AB31" i="1" s="1"/>
  <c r="AA30" i="1"/>
  <c r="AB30" i="1" s="1"/>
  <c r="W29" i="1"/>
  <c r="X29" i="1" s="1"/>
  <c r="Y29" i="1"/>
  <c r="W30" i="1"/>
  <c r="X30" i="1"/>
  <c r="Y30" i="1"/>
  <c r="S30" i="1"/>
  <c r="T30" i="1" s="1"/>
  <c r="U30" i="1"/>
  <c r="O30" i="1"/>
  <c r="P30" i="1" s="1"/>
  <c r="Q30" i="1"/>
  <c r="K30" i="1"/>
  <c r="L30" i="1" s="1"/>
  <c r="M30" i="1"/>
  <c r="G30" i="1"/>
  <c r="H30" i="1" s="1"/>
  <c r="I30" i="1"/>
  <c r="C30" i="1"/>
  <c r="D30" i="1" s="1"/>
  <c r="E30" i="1"/>
  <c r="Z30" i="1"/>
  <c r="AA29" i="1"/>
  <c r="AB29" i="1" s="1"/>
  <c r="S29" i="1"/>
  <c r="T29" i="1" s="1"/>
  <c r="U29" i="1"/>
  <c r="O29" i="1"/>
  <c r="P29" i="1" s="1"/>
  <c r="Q29" i="1"/>
  <c r="K29" i="1"/>
  <c r="L29" i="1" s="1"/>
  <c r="M29" i="1"/>
  <c r="G29" i="1"/>
  <c r="H29" i="1" s="1"/>
  <c r="I29" i="1"/>
  <c r="C29" i="1"/>
  <c r="D29" i="1" s="1"/>
  <c r="E29" i="1"/>
  <c r="Z28" i="1"/>
  <c r="AA28" i="1" s="1"/>
  <c r="AB28" i="1" s="1"/>
  <c r="W28" i="1"/>
  <c r="X28" i="1" s="1"/>
  <c r="Y28" i="1"/>
  <c r="S28" i="1"/>
  <c r="T28" i="1" s="1"/>
  <c r="U28" i="1"/>
  <c r="O28" i="1"/>
  <c r="P28" i="1" s="1"/>
  <c r="Q28" i="1"/>
  <c r="K28" i="1"/>
  <c r="L28" i="1" s="1"/>
  <c r="M28" i="1"/>
  <c r="G28" i="1"/>
  <c r="H28" i="1"/>
  <c r="C28" i="1"/>
  <c r="D28" i="1" s="1"/>
  <c r="E28" i="1"/>
  <c r="AA27" i="1"/>
  <c r="AB27" i="1" s="1"/>
  <c r="W27" i="1"/>
  <c r="X27" i="1" s="1"/>
  <c r="Y27" i="1"/>
  <c r="S27" i="1"/>
  <c r="T27" i="1" s="1"/>
  <c r="U27" i="1"/>
  <c r="O27" i="1"/>
  <c r="P27" i="1" s="1"/>
  <c r="Q27" i="1"/>
  <c r="K27" i="1"/>
  <c r="L27" i="1" s="1"/>
  <c r="M27" i="1"/>
  <c r="G27" i="1"/>
  <c r="H27" i="1" s="1"/>
  <c r="I27" i="1"/>
  <c r="C27" i="1"/>
  <c r="D27" i="1" s="1"/>
  <c r="E27" i="1"/>
  <c r="AA26" i="1"/>
  <c r="AB26" i="1" s="1"/>
  <c r="W26" i="1"/>
  <c r="X26" i="1" s="1"/>
  <c r="Y26" i="1"/>
  <c r="S26" i="1"/>
  <c r="T26" i="1" s="1"/>
  <c r="U26" i="1"/>
  <c r="O26" i="1"/>
  <c r="P26" i="1" s="1"/>
  <c r="Q26" i="1"/>
  <c r="K26" i="1"/>
  <c r="L26" i="1" s="1"/>
  <c r="M26" i="1"/>
  <c r="G26" i="1"/>
  <c r="H26" i="1"/>
  <c r="I26" i="1"/>
  <c r="C26" i="1"/>
  <c r="D26" i="1" s="1"/>
  <c r="E26" i="1"/>
  <c r="W25" i="1"/>
  <c r="X25" i="1" s="1"/>
  <c r="S25" i="1"/>
  <c r="T25" i="1" s="1"/>
  <c r="O25" i="1"/>
  <c r="P25" i="1" s="1"/>
  <c r="K25" i="1"/>
  <c r="L25" i="1" s="1"/>
  <c r="G25" i="1"/>
  <c r="H25" i="1" s="1"/>
  <c r="C25" i="1"/>
  <c r="D25" i="1" s="1"/>
  <c r="W24" i="1"/>
  <c r="X24" i="1" s="1"/>
  <c r="S24" i="1"/>
  <c r="T24" i="1" s="1"/>
  <c r="O24" i="1"/>
  <c r="P24" i="1" s="1"/>
  <c r="K24" i="1"/>
  <c r="L24" i="1" s="1"/>
  <c r="G24" i="1"/>
  <c r="H24" i="1" s="1"/>
  <c r="C24" i="1"/>
  <c r="D24" i="1" s="1"/>
  <c r="W23" i="1"/>
  <c r="X23" i="1" s="1"/>
  <c r="S23" i="1"/>
  <c r="T23" i="1" s="1"/>
  <c r="O23" i="1"/>
  <c r="P23" i="1" s="1"/>
  <c r="K23" i="1"/>
  <c r="L23" i="1" s="1"/>
  <c r="G22" i="1"/>
  <c r="H22" i="1" s="1"/>
  <c r="G23" i="1"/>
  <c r="H23" i="1"/>
  <c r="C23" i="1"/>
  <c r="D23" i="1" s="1"/>
  <c r="C22" i="1"/>
  <c r="D22" i="1" s="1"/>
  <c r="W22" i="1"/>
  <c r="X22" i="1" s="1"/>
  <c r="S22" i="1"/>
  <c r="T22" i="1" s="1"/>
  <c r="O22" i="1"/>
  <c r="P22" i="1" s="1"/>
  <c r="K22" i="1"/>
  <c r="L22" i="1" s="1"/>
  <c r="W21" i="1"/>
  <c r="X21" i="1" s="1"/>
  <c r="S21" i="1"/>
  <c r="T21" i="1" s="1"/>
  <c r="O21" i="1"/>
  <c r="P21" i="1" s="1"/>
  <c r="K21" i="1"/>
  <c r="L21" i="1" s="1"/>
  <c r="G21" i="1"/>
  <c r="H21" i="1" s="1"/>
  <c r="C21" i="1"/>
  <c r="D21" i="1" s="1"/>
  <c r="W20" i="1"/>
  <c r="X20" i="1" s="1"/>
  <c r="S20" i="1"/>
  <c r="T20" i="1" s="1"/>
  <c r="O20" i="1"/>
  <c r="P20" i="1" s="1"/>
  <c r="K20" i="1"/>
  <c r="L20" i="1" s="1"/>
  <c r="K19" i="1"/>
  <c r="L19" i="1" s="1"/>
  <c r="G20" i="1"/>
  <c r="H20" i="1" s="1"/>
  <c r="C20" i="1"/>
  <c r="D20" i="1" s="1"/>
  <c r="W19" i="1"/>
  <c r="X19" i="1" s="1"/>
  <c r="S19" i="1"/>
  <c r="T19" i="1" s="1"/>
  <c r="O19" i="1"/>
  <c r="P19" i="1" s="1"/>
  <c r="G19" i="1"/>
  <c r="H19" i="1" s="1"/>
  <c r="C19" i="1"/>
  <c r="D19" i="1" s="1"/>
  <c r="Z19" i="1"/>
  <c r="Q19" i="1" s="1"/>
  <c r="Z20" i="1"/>
  <c r="Q20" i="1" s="1"/>
  <c r="Z21" i="1"/>
  <c r="E21" i="1" s="1"/>
  <c r="Z22" i="1"/>
  <c r="Z23" i="1"/>
  <c r="E23" i="1" s="1"/>
  <c r="Z24" i="1"/>
  <c r="I24" i="1" s="1"/>
  <c r="Z25" i="1"/>
  <c r="Z26" i="1"/>
  <c r="Z27" i="1"/>
  <c r="Z29" i="1"/>
  <c r="W18" i="1"/>
  <c r="X18" i="1" s="1"/>
  <c r="S18" i="1"/>
  <c r="T18" i="1" s="1"/>
  <c r="O18" i="1"/>
  <c r="P18" i="1" s="1"/>
  <c r="K18" i="1"/>
  <c r="L18" i="1" s="1"/>
  <c r="G18" i="1"/>
  <c r="H18" i="1" s="1"/>
  <c r="C18" i="1"/>
  <c r="D18" i="1" s="1"/>
  <c r="Z18" i="1"/>
  <c r="E18" i="1" s="1"/>
  <c r="W17" i="1"/>
  <c r="X17" i="1" s="1"/>
  <c r="S17" i="1"/>
  <c r="T17" i="1" s="1"/>
  <c r="O17" i="1"/>
  <c r="P17" i="1" s="1"/>
  <c r="K17" i="1"/>
  <c r="L17" i="1" s="1"/>
  <c r="G17" i="1"/>
  <c r="H17" i="1" s="1"/>
  <c r="C17" i="1"/>
  <c r="D17" i="1" s="1"/>
  <c r="Z17" i="1"/>
  <c r="E17" i="1" s="1"/>
  <c r="W16" i="1"/>
  <c r="X16" i="1"/>
  <c r="S16" i="1"/>
  <c r="T16" i="1" s="1"/>
  <c r="O16" i="1"/>
  <c r="P16" i="1" s="1"/>
  <c r="K16" i="1"/>
  <c r="L16" i="1" s="1"/>
  <c r="G16" i="1"/>
  <c r="H16" i="1" s="1"/>
  <c r="C16" i="1"/>
  <c r="D16" i="1" s="1"/>
  <c r="Z16" i="1"/>
  <c r="Q16" i="1" s="1"/>
  <c r="AA16" i="1"/>
  <c r="AB16" i="1" s="1"/>
  <c r="W15" i="1"/>
  <c r="X15" i="1" s="1"/>
  <c r="S15" i="1"/>
  <c r="T15" i="1" s="1"/>
  <c r="O15" i="1"/>
  <c r="P15" i="1" s="1"/>
  <c r="K15" i="1"/>
  <c r="L15" i="1" s="1"/>
  <c r="L14" i="1"/>
  <c r="G15" i="1"/>
  <c r="H15" i="1" s="1"/>
  <c r="C15" i="1"/>
  <c r="D15" i="1" s="1"/>
  <c r="Z15" i="1"/>
  <c r="W14" i="1"/>
  <c r="X14" i="1" s="1"/>
  <c r="S14" i="1"/>
  <c r="T14" i="1" s="1"/>
  <c r="O14" i="1"/>
  <c r="P14" i="1" s="1"/>
  <c r="K14" i="1"/>
  <c r="G14" i="1"/>
  <c r="H14" i="1" s="1"/>
  <c r="C14" i="1"/>
  <c r="D14" i="1" s="1"/>
  <c r="Z14" i="1"/>
  <c r="Y14" i="1" s="1"/>
  <c r="W13" i="1"/>
  <c r="X13" i="1" s="1"/>
  <c r="S13" i="1"/>
  <c r="T13" i="1" s="1"/>
  <c r="O13" i="1"/>
  <c r="P13" i="1" s="1"/>
  <c r="K13" i="1"/>
  <c r="L13" i="1" s="1"/>
  <c r="G13" i="1"/>
  <c r="H13" i="1" s="1"/>
  <c r="C13" i="1"/>
  <c r="D13" i="1" s="1"/>
  <c r="Z13" i="1"/>
  <c r="U13" i="1" s="1"/>
  <c r="W12" i="1"/>
  <c r="X12" i="1" s="1"/>
  <c r="S12" i="1"/>
  <c r="T12" i="1" s="1"/>
  <c r="O12" i="1"/>
  <c r="P12" i="1" s="1"/>
  <c r="K12" i="1"/>
  <c r="L12" i="1" s="1"/>
  <c r="G12" i="1"/>
  <c r="H12" i="1" s="1"/>
  <c r="C12" i="1"/>
  <c r="D12" i="1" s="1"/>
  <c r="Z12" i="1"/>
  <c r="W11" i="1"/>
  <c r="X11" i="1" s="1"/>
  <c r="S11" i="1"/>
  <c r="T11" i="1" s="1"/>
  <c r="O11" i="1"/>
  <c r="P11" i="1" s="1"/>
  <c r="K11" i="1"/>
  <c r="L11" i="1"/>
  <c r="G11" i="1"/>
  <c r="H11" i="1" s="1"/>
  <c r="C11" i="1"/>
  <c r="D11" i="1" s="1"/>
  <c r="Z11" i="1"/>
  <c r="M11" i="1" s="1"/>
  <c r="W10" i="1"/>
  <c r="X10" i="1" s="1"/>
  <c r="S10" i="1"/>
  <c r="T10" i="1" s="1"/>
  <c r="O10" i="1"/>
  <c r="P10" i="1" s="1"/>
  <c r="Q10" i="1"/>
  <c r="K10" i="1"/>
  <c r="L10" i="1" s="1"/>
  <c r="G10" i="1"/>
  <c r="H10" i="1" s="1"/>
  <c r="C10" i="1"/>
  <c r="D10" i="1" s="1"/>
  <c r="Z10" i="1"/>
  <c r="M10" i="1" s="1"/>
  <c r="W9" i="1"/>
  <c r="X9" i="1" s="1"/>
  <c r="S9" i="1"/>
  <c r="T9" i="1" s="1"/>
  <c r="O9" i="1"/>
  <c r="P9" i="1" s="1"/>
  <c r="K9" i="1"/>
  <c r="L9" i="1" s="1"/>
  <c r="C9" i="1"/>
  <c r="D9" i="1" s="1"/>
  <c r="G9" i="1"/>
  <c r="H9" i="1" s="1"/>
  <c r="Z9" i="1"/>
  <c r="U9" i="1" s="1"/>
  <c r="W8" i="1"/>
  <c r="X8" i="1" s="1"/>
  <c r="S8" i="1"/>
  <c r="T8" i="1" s="1"/>
  <c r="O8" i="1"/>
  <c r="P8" i="1" s="1"/>
  <c r="K8" i="1"/>
  <c r="L8" i="1" s="1"/>
  <c r="G8" i="1"/>
  <c r="H8" i="1" s="1"/>
  <c r="C8" i="1"/>
  <c r="D8" i="1" s="1"/>
  <c r="Z8" i="1"/>
  <c r="Y8" i="1" s="1"/>
  <c r="W7" i="1"/>
  <c r="X7" i="1" s="1"/>
  <c r="S7" i="1"/>
  <c r="T7" i="1" s="1"/>
  <c r="O7" i="1"/>
  <c r="P7" i="1" s="1"/>
  <c r="K7" i="1"/>
  <c r="L7" i="1" s="1"/>
  <c r="G7" i="1"/>
  <c r="H7" i="1" s="1"/>
  <c r="C7" i="1"/>
  <c r="D7" i="1" s="1"/>
  <c r="Z7" i="1"/>
  <c r="E7" i="1" s="1"/>
  <c r="W6" i="1"/>
  <c r="X6" i="1" s="1"/>
  <c r="S6" i="1"/>
  <c r="T6" i="1" s="1"/>
  <c r="O6" i="1"/>
  <c r="P6" i="1" s="1"/>
  <c r="K6" i="1"/>
  <c r="L6" i="1" s="1"/>
  <c r="G6" i="1"/>
  <c r="H6" i="1" s="1"/>
  <c r="Z6" i="1"/>
  <c r="C6" i="1"/>
  <c r="D6" i="1" s="1"/>
  <c r="E6" i="1"/>
  <c r="W5" i="1"/>
  <c r="X5" i="1" s="1"/>
  <c r="S5" i="1"/>
  <c r="T5" i="1" s="1"/>
  <c r="O5" i="1"/>
  <c r="P5" i="1"/>
  <c r="K5" i="1"/>
  <c r="L5" i="1" s="1"/>
  <c r="G5" i="1"/>
  <c r="H5" i="1" s="1"/>
  <c r="Z5" i="1"/>
  <c r="C5" i="1"/>
  <c r="D5" i="1" s="1"/>
  <c r="W4" i="1"/>
  <c r="X4" i="1" s="1"/>
  <c r="S4" i="1"/>
  <c r="T4" i="1" s="1"/>
  <c r="O4" i="1"/>
  <c r="P4" i="1" s="1"/>
  <c r="K4" i="1"/>
  <c r="L4" i="1" s="1"/>
  <c r="G4" i="1"/>
  <c r="H4" i="1" s="1"/>
  <c r="C4" i="1"/>
  <c r="D4" i="1" s="1"/>
  <c r="Z4" i="1"/>
  <c r="Y4" i="1" s="1"/>
  <c r="Z3" i="1"/>
  <c r="I3" i="1" s="1"/>
  <c r="I32" i="1" l="1"/>
  <c r="E31" i="1"/>
  <c r="Q31" i="1"/>
  <c r="Y31" i="1"/>
  <c r="M31" i="1"/>
  <c r="U31" i="1"/>
  <c r="I31" i="1"/>
  <c r="I28" i="1"/>
  <c r="AA22" i="1"/>
  <c r="AB22" i="1" s="1"/>
  <c r="Q9" i="1"/>
  <c r="M9" i="1"/>
  <c r="AA11" i="1"/>
  <c r="AB11" i="1" s="1"/>
  <c r="Y9" i="1"/>
  <c r="AA25" i="1"/>
  <c r="AB25" i="1" s="1"/>
  <c r="AA12" i="1"/>
  <c r="AB12" i="1" s="1"/>
  <c r="Q8" i="1"/>
  <c r="U8" i="1"/>
  <c r="I8" i="1"/>
  <c r="M8" i="1"/>
  <c r="I4" i="1"/>
  <c r="AA6" i="1"/>
  <c r="AB6" i="1" s="1"/>
  <c r="E4" i="1"/>
  <c r="M4" i="1"/>
  <c r="E3" i="1"/>
  <c r="I10" i="1"/>
  <c r="E9" i="1"/>
  <c r="U20" i="1"/>
  <c r="U19" i="1"/>
  <c r="M16" i="1"/>
  <c r="Q3" i="1"/>
  <c r="Y3" i="1"/>
  <c r="Y16" i="1"/>
  <c r="I9" i="1"/>
  <c r="AA10" i="1"/>
  <c r="AB10" i="1" s="1"/>
  <c r="I19" i="1"/>
  <c r="M3" i="1"/>
  <c r="U16" i="1"/>
  <c r="AA17" i="1"/>
  <c r="AB17" i="1" s="1"/>
  <c r="U3" i="1"/>
  <c r="Q12" i="1"/>
  <c r="AA5" i="1"/>
  <c r="AB5" i="1" s="1"/>
  <c r="E10" i="1"/>
  <c r="U12" i="1"/>
  <c r="Q6" i="1"/>
  <c r="U7" i="1"/>
  <c r="U6" i="1"/>
  <c r="Q22" i="1"/>
  <c r="Q4" i="1"/>
  <c r="M13" i="1"/>
  <c r="E16" i="1"/>
  <c r="E22" i="1"/>
  <c r="U4" i="1"/>
  <c r="Y6" i="1"/>
  <c r="AA7" i="1"/>
  <c r="AB7" i="1" s="1"/>
  <c r="AA9" i="1"/>
  <c r="AB9" i="1" s="1"/>
  <c r="M12" i="1"/>
  <c r="M7" i="1"/>
  <c r="I14" i="1"/>
  <c r="E13" i="1"/>
  <c r="Y5" i="1"/>
  <c r="Q13" i="1"/>
  <c r="I16" i="1"/>
  <c r="E19" i="1"/>
  <c r="Y7" i="1"/>
  <c r="I6" i="1"/>
  <c r="Y13" i="1"/>
  <c r="Q5" i="1"/>
  <c r="M6" i="1"/>
  <c r="I7" i="1"/>
  <c r="E8" i="1"/>
  <c r="AA8" i="1"/>
  <c r="AB8" i="1" s="1"/>
  <c r="I12" i="1"/>
  <c r="U10" i="1"/>
  <c r="Q11" i="1"/>
  <c r="AA13" i="1"/>
  <c r="AB13" i="1" s="1"/>
  <c r="Y19" i="1"/>
  <c r="AA21" i="1"/>
  <c r="AB21" i="1" s="1"/>
  <c r="Q23" i="1"/>
  <c r="AA14" i="1"/>
  <c r="AB14" i="1" s="1"/>
  <c r="M24" i="1"/>
  <c r="I25" i="1"/>
  <c r="U5" i="1"/>
  <c r="Y10" i="1"/>
  <c r="U11" i="1"/>
  <c r="I13" i="1"/>
  <c r="E14" i="1"/>
  <c r="AA15" i="1"/>
  <c r="AB15" i="1" s="1"/>
  <c r="AA19" i="1"/>
  <c r="AB19" i="1" s="1"/>
  <c r="U22" i="1"/>
  <c r="Q7" i="1"/>
  <c r="E20" i="1"/>
  <c r="Y20" i="1"/>
  <c r="M22" i="1"/>
  <c r="U21" i="1"/>
  <c r="Q24" i="1"/>
  <c r="M25" i="1"/>
  <c r="Y11" i="1"/>
  <c r="U23" i="1"/>
  <c r="E11" i="1"/>
  <c r="M14" i="1"/>
  <c r="I20" i="1"/>
  <c r="AA20" i="1"/>
  <c r="AB20" i="1" s="1"/>
  <c r="I23" i="1"/>
  <c r="U24" i="1"/>
  <c r="Q25" i="1"/>
  <c r="I22" i="1"/>
  <c r="Y23" i="1"/>
  <c r="I11" i="1"/>
  <c r="Y12" i="1"/>
  <c r="Q14" i="1"/>
  <c r="M19" i="1"/>
  <c r="Y22" i="1"/>
  <c r="I21" i="1"/>
  <c r="Y24" i="1"/>
  <c r="U25" i="1"/>
  <c r="E12" i="1"/>
  <c r="M23" i="1"/>
  <c r="AA23" i="1"/>
  <c r="AB23" i="1" s="1"/>
  <c r="U14" i="1"/>
  <c r="M20" i="1"/>
  <c r="E24" i="1"/>
  <c r="AA24" i="1"/>
  <c r="AB24" i="1" s="1"/>
  <c r="Y25" i="1"/>
  <c r="E25" i="1"/>
  <c r="Q21" i="1"/>
  <c r="M21" i="1"/>
  <c r="Y21" i="1"/>
  <c r="AA18" i="1"/>
  <c r="AB18" i="1" s="1"/>
  <c r="Q18" i="1"/>
  <c r="M18" i="1"/>
  <c r="Y18" i="1"/>
  <c r="U18" i="1"/>
  <c r="I18" i="1"/>
  <c r="Q17" i="1"/>
  <c r="U17" i="1"/>
  <c r="M17" i="1"/>
  <c r="Y17" i="1"/>
  <c r="I17" i="1"/>
  <c r="E15" i="1"/>
  <c r="M15" i="1"/>
  <c r="I15" i="1"/>
  <c r="Q15" i="1"/>
  <c r="U15" i="1"/>
  <c r="Y15" i="1"/>
  <c r="I5" i="1"/>
  <c r="E5" i="1"/>
  <c r="M5" i="1"/>
  <c r="AA4" i="1"/>
  <c r="AB4" i="1" s="1"/>
</calcChain>
</file>

<file path=xl/sharedStrings.xml><?xml version="1.0" encoding="utf-8"?>
<sst xmlns="http://schemas.openxmlformats.org/spreadsheetml/2006/main" count="35" uniqueCount="13">
  <si>
    <t>Cash 💴 EUR</t>
  </si>
  <si>
    <t>OKX 🏁 USDT</t>
  </si>
  <si>
    <t>Total</t>
  </si>
  <si>
    <t>Cash 💴 RSD</t>
  </si>
  <si>
    <t>Diff %</t>
  </si>
  <si>
    <t>Diff</t>
  </si>
  <si>
    <t>% of total</t>
  </si>
  <si>
    <t>Balance</t>
  </si>
  <si>
    <t>Serbian 🔴 banks EUR</t>
  </si>
  <si>
    <t>Serbian 🔴 banks RSD</t>
  </si>
  <si>
    <t>Russsian banks 🟢 RUB</t>
  </si>
  <si>
    <t>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</si>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</sst>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1" xfId="0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0" fillId="0" borderId="9" xfId="1" applyFont="1" applyBorder="1"/>
    <xf numFmtId="0" fontId="0" fillId="0" borderId="13" xfId="0" applyBorder="1"/>
    <xf numFmtId="9" fontId="0" fillId="0" borderId="1" xfId="1" applyFont="1" applyBorder="1"/>
    <xf numFmtId="0" fontId="0" fillId="0" borderId="14" xfId="0" applyBorder="1"/>
    <xf numFmtId="9" fontId="0" fillId="0" borderId="15" xfId="1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Serbian 🔴 banks RSD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Sheet1!$A$3:$A$64</c:f>
              <c:numCache>
                <c:formatCode>m/d/yy</c:formatCode>
                <c:ptCount val="62"/>
                <c:pt idx="0">
                  <c:v>45580</c:v>
                </c:pt>
                <c:pt idx="1">
                  <c:v>45597</c:v>
                </c:pt>
                <c:pt idx="2">
                  <c:v>45611</c:v>
                </c:pt>
                <c:pt idx="3">
                  <c:v>45627</c:v>
                </c:pt>
                <c:pt idx="4">
                  <c:v>45641</c:v>
                </c:pt>
                <c:pt idx="5">
                  <c:v>45658</c:v>
                </c:pt>
                <c:pt idx="6">
                  <c:v>45672</c:v>
                </c:pt>
                <c:pt idx="7">
                  <c:v>45689</c:v>
                </c:pt>
                <c:pt idx="8">
                  <c:v>45703</c:v>
                </c:pt>
                <c:pt idx="9">
                  <c:v>45717</c:v>
                </c:pt>
                <c:pt idx="10">
                  <c:v>45731</c:v>
                </c:pt>
                <c:pt idx="11">
                  <c:v>45762</c:v>
                </c:pt>
                <c:pt idx="12">
                  <c:v>45778</c:v>
                </c:pt>
                <c:pt idx="13">
                  <c:v>45792</c:v>
                </c:pt>
                <c:pt idx="14">
                  <c:v>45809</c:v>
                </c:pt>
                <c:pt idx="15">
                  <c:v>45823</c:v>
                </c:pt>
                <c:pt idx="16">
                  <c:v>45839</c:v>
                </c:pt>
                <c:pt idx="20">
                  <c:v>45915</c:v>
                </c:pt>
                <c:pt idx="21">
                  <c:v>45931</c:v>
                </c:pt>
                <c:pt idx="22">
                  <c:v>45945</c:v>
                </c:pt>
                <c:pt idx="23">
                  <c:v>45962</c:v>
                </c:pt>
                <c:pt idx="24">
                  <c:v>45976</c:v>
                </c:pt>
                <c:pt idx="25">
                  <c:v>46006</c:v>
                </c:pt>
                <c:pt idx="26">
                  <c:v>46037</c:v>
                </c:pt>
                <c:pt idx="27">
                  <c:v>46054</c:v>
                </c:pt>
                <c:pt idx="28">
                  <c:v>46068</c:v>
                </c:pt>
                <c:pt idx="29">
                  <c:v>46096</c:v>
                </c:pt>
                <c:pt idx="30">
                  <c:v>46127</c:v>
                </c:pt>
                <c:pt idx="31">
                  <c:v>46143</c:v>
                </c:pt>
                <c:pt idx="32">
                  <c:v>46157</c:v>
                </c:pt>
              </c:numCache>
            </c:numRef>
          </c:cat>
          <c:val>
            <c:numRef>
              <c:f>Sheet1!$E$3:$E$67</c:f>
              <c:numCache>
                <c:formatCode>0%</c:formatCode>
                <c:ptCount val="65"/>
                <c:pt idx="0">
                  <c:v>2.7557956627051683E-2</c:v>
                </c:pt>
                <c:pt idx="1">
                  <c:v>0.2411148153262449</c:v>
                </c:pt>
                <c:pt idx="2">
                  <c:v>0.18795119220606701</c:v>
                </c:pt>
                <c:pt idx="3">
                  <c:v>0.38937745225659448</c:v>
                </c:pt>
                <c:pt idx="4">
                  <c:v>0.2028572661746299</c:v>
                </c:pt>
                <c:pt idx="5">
                  <c:v>0.28856833456669828</c:v>
                </c:pt>
                <c:pt idx="6">
                  <c:v>0.13936100454487213</c:v>
                </c:pt>
                <c:pt idx="7">
                  <c:v>0.27217289833343428</c:v>
                </c:pt>
                <c:pt idx="8">
                  <c:v>0.26232522559869625</c:v>
                </c:pt>
                <c:pt idx="9">
                  <c:v>0.36412331487977007</c:v>
                </c:pt>
                <c:pt idx="10">
                  <c:v>0.34554187931552088</c:v>
                </c:pt>
                <c:pt idx="11">
                  <c:v>0.30967980324924804</c:v>
                </c:pt>
                <c:pt idx="12">
                  <c:v>0.41832574374317122</c:v>
                </c:pt>
                <c:pt idx="13">
                  <c:v>0.35298885189629003</c:v>
                </c:pt>
                <c:pt idx="14">
                  <c:v>0.42108399220808984</c:v>
                </c:pt>
                <c:pt idx="15">
                  <c:v>0.30520571115732986</c:v>
                </c:pt>
                <c:pt idx="16">
                  <c:v>0.32108698921833151</c:v>
                </c:pt>
                <c:pt idx="17">
                  <c:v>0.26451922235864678</c:v>
                </c:pt>
                <c:pt idx="18">
                  <c:v>0.34699298082881563</c:v>
                </c:pt>
                <c:pt idx="19">
                  <c:v>0.2747485189524651</c:v>
                </c:pt>
                <c:pt idx="20">
                  <c:v>0.33647810997814653</c:v>
                </c:pt>
                <c:pt idx="21">
                  <c:v>0.46360398095629263</c:v>
                </c:pt>
                <c:pt idx="22">
                  <c:v>0.36467333704575255</c:v>
                </c:pt>
                <c:pt idx="23">
                  <c:v>0.4878045991717927</c:v>
                </c:pt>
                <c:pt idx="24">
                  <c:v>0.3930936646194802</c:v>
                </c:pt>
                <c:pt idx="25">
                  <c:v>0.36136375673476462</c:v>
                </c:pt>
                <c:pt idx="26">
                  <c:v>0.31039351021871642</c:v>
                </c:pt>
                <c:pt idx="27">
                  <c:v>0.26576204398118725</c:v>
                </c:pt>
                <c:pt idx="28">
                  <c:v>0.19156324416445053</c:v>
                </c:pt>
                <c:pt idx="29">
                  <c:v>0.14973635951042938</c:v>
                </c:pt>
                <c:pt idx="30">
                  <c:v>6.4332858563061673E-2</c:v>
                </c:pt>
                <c:pt idx="31">
                  <c:v>0.14044312243605009</c:v>
                </c:pt>
                <c:pt idx="32">
                  <c:v>0.11685684087343741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E14-AA4E-B88B-0F7BE8FFAC2B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Serbian 🔴 banks EUR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Sheet1!$A$3:$A$64</c:f>
              <c:numCache>
                <c:formatCode>m/d/yy</c:formatCode>
                <c:ptCount val="62"/>
                <c:pt idx="0">
                  <c:v>45580</c:v>
                </c:pt>
                <c:pt idx="1">
                  <c:v>45597</c:v>
                </c:pt>
                <c:pt idx="2">
                  <c:v>45611</c:v>
                </c:pt>
                <c:pt idx="3">
                  <c:v>45627</c:v>
                </c:pt>
                <c:pt idx="4">
                  <c:v>45641</c:v>
                </c:pt>
                <c:pt idx="5">
                  <c:v>45658</c:v>
                </c:pt>
                <c:pt idx="6">
                  <c:v>45672</c:v>
                </c:pt>
                <c:pt idx="7">
                  <c:v>45689</c:v>
                </c:pt>
                <c:pt idx="8">
                  <c:v>45703</c:v>
                </c:pt>
                <c:pt idx="9">
                  <c:v>45717</c:v>
                </c:pt>
                <c:pt idx="10">
                  <c:v>45731</c:v>
                </c:pt>
                <c:pt idx="11">
                  <c:v>45762</c:v>
                </c:pt>
                <c:pt idx="12">
                  <c:v>45778</c:v>
                </c:pt>
                <c:pt idx="13">
                  <c:v>45792</c:v>
                </c:pt>
                <c:pt idx="14">
                  <c:v>45809</c:v>
                </c:pt>
                <c:pt idx="15">
                  <c:v>45823</c:v>
                </c:pt>
                <c:pt idx="16">
                  <c:v>45839</c:v>
                </c:pt>
                <c:pt idx="20">
                  <c:v>45915</c:v>
                </c:pt>
                <c:pt idx="21">
                  <c:v>45931</c:v>
                </c:pt>
                <c:pt idx="22">
                  <c:v>45945</c:v>
                </c:pt>
                <c:pt idx="23">
                  <c:v>45962</c:v>
                </c:pt>
                <c:pt idx="24">
                  <c:v>45976</c:v>
                </c:pt>
                <c:pt idx="25">
                  <c:v>46006</c:v>
                </c:pt>
                <c:pt idx="26">
                  <c:v>46037</c:v>
                </c:pt>
                <c:pt idx="27">
                  <c:v>46054</c:v>
                </c:pt>
                <c:pt idx="28">
                  <c:v>46068</c:v>
                </c:pt>
                <c:pt idx="29">
                  <c:v>46096</c:v>
                </c:pt>
                <c:pt idx="30">
                  <c:v>46127</c:v>
                </c:pt>
                <c:pt idx="31">
                  <c:v>46143</c:v>
                </c:pt>
                <c:pt idx="32">
                  <c:v>46157</c:v>
                </c:pt>
              </c:numCache>
            </c:numRef>
          </c:cat>
          <c:val>
            <c:numRef>
              <c:f>Sheet1!$I$3:$I$67</c:f>
              <c:numCache>
                <c:formatCode>0%</c:formatCode>
                <c:ptCount val="65"/>
                <c:pt idx="0">
                  <c:v>0.20776232627164903</c:v>
                </c:pt>
                <c:pt idx="1">
                  <c:v>0.14725570262823925</c:v>
                </c:pt>
                <c:pt idx="2">
                  <c:v>0.20426589632259315</c:v>
                </c:pt>
                <c:pt idx="3">
                  <c:v>0.15668868465736954</c:v>
                </c:pt>
                <c:pt idx="4">
                  <c:v>0.15337190574519946</c:v>
                </c:pt>
                <c:pt idx="5">
                  <c:v>0.13735055848645505</c:v>
                </c:pt>
                <c:pt idx="6">
                  <c:v>8.5118998268979049E-2</c:v>
                </c:pt>
                <c:pt idx="7">
                  <c:v>5.5489671660784598E-2</c:v>
                </c:pt>
                <c:pt idx="8">
                  <c:v>4.5974977163959797E-2</c:v>
                </c:pt>
                <c:pt idx="9">
                  <c:v>7.3218209863499972E-2</c:v>
                </c:pt>
                <c:pt idx="10">
                  <c:v>7.899436582351832E-2</c:v>
                </c:pt>
                <c:pt idx="11">
                  <c:v>6.5853758673071375E-2</c:v>
                </c:pt>
                <c:pt idx="12">
                  <c:v>6.0776606952113482E-2</c:v>
                </c:pt>
                <c:pt idx="13">
                  <c:v>5.7965371749131897E-2</c:v>
                </c:pt>
                <c:pt idx="14">
                  <c:v>4.6361865474962759E-2</c:v>
                </c:pt>
                <c:pt idx="15">
                  <c:v>3.7279472098390339E-2</c:v>
                </c:pt>
                <c:pt idx="16">
                  <c:v>2.4163615679600424E-2</c:v>
                </c:pt>
                <c:pt idx="17">
                  <c:v>1.3439074933776517E-2</c:v>
                </c:pt>
                <c:pt idx="18">
                  <c:v>1.1538176730336773E-2</c:v>
                </c:pt>
                <c:pt idx="19">
                  <c:v>9.8068719218017304E-3</c:v>
                </c:pt>
                <c:pt idx="20">
                  <c:v>2.6185137199396583E-2</c:v>
                </c:pt>
                <c:pt idx="21">
                  <c:v>1.7929314778888466E-2</c:v>
                </c:pt>
                <c:pt idx="22">
                  <c:v>1.2145094453967106E-2</c:v>
                </c:pt>
                <c:pt idx="23">
                  <c:v>0.1185060987008853</c:v>
                </c:pt>
                <c:pt idx="24">
                  <c:v>0.11979543703150176</c:v>
                </c:pt>
                <c:pt idx="25">
                  <c:v>8.2333851731659052E-2</c:v>
                </c:pt>
                <c:pt idx="26">
                  <c:v>5.4903191107923993E-2</c:v>
                </c:pt>
                <c:pt idx="27">
                  <c:v>6.0731889891671255E-2</c:v>
                </c:pt>
                <c:pt idx="28">
                  <c:v>5.1260022623099366E-2</c:v>
                </c:pt>
                <c:pt idx="29">
                  <c:v>4.6307741695047838E-2</c:v>
                </c:pt>
                <c:pt idx="30">
                  <c:v>4.9799337700426896E-2</c:v>
                </c:pt>
                <c:pt idx="31">
                  <c:v>3.438489914943138E-2</c:v>
                </c:pt>
                <c:pt idx="32">
                  <c:v>3.4167380847340383E-2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14-AA4E-B88B-0F7BE8FFAC2B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Russsian banks 🟢 RUB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val>
            <c:numRef>
              <c:f>Sheet1!$M$3:$M$67</c:f>
              <c:numCache>
                <c:formatCode>0%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5.2299447745479096E-3</c:v>
                </c:pt>
                <c:pt idx="4">
                  <c:v>2.8849801572427772E-4</c:v>
                </c:pt>
                <c:pt idx="5">
                  <c:v>2.6490942905692066E-2</c:v>
                </c:pt>
                <c:pt idx="6">
                  <c:v>1.2888443362451667E-2</c:v>
                </c:pt>
                <c:pt idx="7">
                  <c:v>0</c:v>
                </c:pt>
                <c:pt idx="8">
                  <c:v>3.2520421774832484E-2</c:v>
                </c:pt>
                <c:pt idx="9">
                  <c:v>1.9546602290495711E-2</c:v>
                </c:pt>
                <c:pt idx="10">
                  <c:v>2.1691928536021723E-2</c:v>
                </c:pt>
                <c:pt idx="11">
                  <c:v>2.6965818927326975E-2</c:v>
                </c:pt>
                <c:pt idx="12">
                  <c:v>8.5832031736952884E-3</c:v>
                </c:pt>
                <c:pt idx="13">
                  <c:v>4.0133438219269874E-2</c:v>
                </c:pt>
                <c:pt idx="14">
                  <c:v>1.4791738283488025E-2</c:v>
                </c:pt>
                <c:pt idx="15">
                  <c:v>1.8625817389840437E-2</c:v>
                </c:pt>
                <c:pt idx="16">
                  <c:v>0</c:v>
                </c:pt>
                <c:pt idx="17">
                  <c:v>0</c:v>
                </c:pt>
                <c:pt idx="18">
                  <c:v>-1.7452442289629479E-2</c:v>
                </c:pt>
                <c:pt idx="19">
                  <c:v>0.10963003948592841</c:v>
                </c:pt>
                <c:pt idx="20">
                  <c:v>7.3561157746749303E-2</c:v>
                </c:pt>
                <c:pt idx="21">
                  <c:v>5.204286189350827E-2</c:v>
                </c:pt>
                <c:pt idx="22">
                  <c:v>4.0057255715408087E-2</c:v>
                </c:pt>
                <c:pt idx="23">
                  <c:v>2.079493667817723E-2</c:v>
                </c:pt>
                <c:pt idx="24">
                  <c:v>0.1908016719986923</c:v>
                </c:pt>
                <c:pt idx="25">
                  <c:v>0.13249731572383974</c:v>
                </c:pt>
                <c:pt idx="26">
                  <c:v>0.20727635353173185</c:v>
                </c:pt>
                <c:pt idx="27">
                  <c:v>0.35705407962939417</c:v>
                </c:pt>
                <c:pt idx="28">
                  <c:v>0.30236442392607787</c:v>
                </c:pt>
                <c:pt idx="29">
                  <c:v>0.23083394523509942</c:v>
                </c:pt>
                <c:pt idx="30">
                  <c:v>0.2258191769525299</c:v>
                </c:pt>
                <c:pt idx="31">
                  <c:v>0.29406309394896585</c:v>
                </c:pt>
                <c:pt idx="32">
                  <c:v>0.45408962289927585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E14-AA4E-B88B-0F7BE8FFAC2B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OKX 🏁 USDT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val>
            <c:numRef>
              <c:f>Sheet1!$Q$3:$Q$67</c:f>
              <c:numCache>
                <c:formatCode>0%</c:formatCode>
                <c:ptCount val="65"/>
                <c:pt idx="0">
                  <c:v>0.35899950262235281</c:v>
                </c:pt>
                <c:pt idx="1">
                  <c:v>0.30433195904760024</c:v>
                </c:pt>
                <c:pt idx="2">
                  <c:v>0.15424573859928475</c:v>
                </c:pt>
                <c:pt idx="3">
                  <c:v>0.13980540919133996</c:v>
                </c:pt>
                <c:pt idx="4">
                  <c:v>0.19308922312254806</c:v>
                </c:pt>
                <c:pt idx="5">
                  <c:v>0.1506448581702651</c:v>
                </c:pt>
                <c:pt idx="6">
                  <c:v>0.10214405410633844</c:v>
                </c:pt>
                <c:pt idx="7">
                  <c:v>8.1913268304148551E-2</c:v>
                </c:pt>
                <c:pt idx="8">
                  <c:v>6.7749096951908311E-2</c:v>
                </c:pt>
                <c:pt idx="9">
                  <c:v>5.7500105650171156E-2</c:v>
                </c:pt>
                <c:pt idx="10">
                  <c:v>5.2592628793643917E-2</c:v>
                </c:pt>
                <c:pt idx="11">
                  <c:v>4.5833018791709861E-2</c:v>
                </c:pt>
                <c:pt idx="12">
                  <c:v>4.658859532696346E-2</c:v>
                </c:pt>
                <c:pt idx="13">
                  <c:v>1.0909726581433597E-2</c:v>
                </c:pt>
                <c:pt idx="14">
                  <c:v>1.2024464306176236E-2</c:v>
                </c:pt>
                <c:pt idx="15">
                  <c:v>1.1528626705532865E-2</c:v>
                </c:pt>
                <c:pt idx="16">
                  <c:v>2.6588254532570609E-3</c:v>
                </c:pt>
                <c:pt idx="17">
                  <c:v>2.8508764825367623E-3</c:v>
                </c:pt>
                <c:pt idx="18">
                  <c:v>2.5722670636791991E-3</c:v>
                </c:pt>
                <c:pt idx="19">
                  <c:v>2.3051525971125751E-3</c:v>
                </c:pt>
                <c:pt idx="20">
                  <c:v>2.5380011007510388E-3</c:v>
                </c:pt>
                <c:pt idx="21">
                  <c:v>2.783375222956695E-3</c:v>
                </c:pt>
                <c:pt idx="22">
                  <c:v>2.5243190247619626E-3</c:v>
                </c:pt>
                <c:pt idx="23">
                  <c:v>2.6559937543156036E-3</c:v>
                </c:pt>
                <c:pt idx="24">
                  <c:v>2.9189921303972165E-3</c:v>
                </c:pt>
                <c:pt idx="25">
                  <c:v>3.0092782065664859E-3</c:v>
                </c:pt>
                <c:pt idx="26">
                  <c:v>2.546530199810946E-3</c:v>
                </c:pt>
                <c:pt idx="27">
                  <c:v>2.9424365257592661E-3</c:v>
                </c:pt>
                <c:pt idx="28">
                  <c:v>2.5003425469289297E-3</c:v>
                </c:pt>
                <c:pt idx="29">
                  <c:v>2.3061624350123426E-3</c:v>
                </c:pt>
                <c:pt idx="30">
                  <c:v>2.4779241735379503E-3</c:v>
                </c:pt>
                <c:pt idx="31">
                  <c:v>2.2466154737887374E-3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E14-AA4E-B88B-0F7BE8FFAC2B}"/>
            </c:ext>
          </c:extLst>
        </c:ser>
        <c:ser>
          <c:idx val="4"/>
          <c:order val="4"/>
          <c:tx>
            <c:strRef>
              <c:f>Sheet1!$R$1</c:f>
              <c:strCache>
                <c:ptCount val="1"/>
                <c:pt idx="0">
                  <c:v>Cash 💴 EUR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Sheet1!$U$3:$U$67</c:f>
              <c:numCache>
                <c:formatCode>0%</c:formatCode>
                <c:ptCount val="65"/>
                <c:pt idx="0">
                  <c:v>0.3840503524102597</c:v>
                </c:pt>
                <c:pt idx="1">
                  <c:v>0.29412344899690296</c:v>
                </c:pt>
                <c:pt idx="2">
                  <c:v>0.44339160220545798</c:v>
                </c:pt>
                <c:pt idx="3">
                  <c:v>0.30472146512179782</c:v>
                </c:pt>
                <c:pt idx="4">
                  <c:v>0.44144285354068846</c:v>
                </c:pt>
                <c:pt idx="5">
                  <c:v>0.37067571761223439</c:v>
                </c:pt>
                <c:pt idx="6">
                  <c:v>0.65750783230451892</c:v>
                </c:pt>
                <c:pt idx="7">
                  <c:v>0.58862808363337216</c:v>
                </c:pt>
                <c:pt idx="8">
                  <c:v>0.53472325332503434</c:v>
                </c:pt>
                <c:pt idx="9">
                  <c:v>0.47297468621899169</c:v>
                </c:pt>
                <c:pt idx="10">
                  <c:v>0.35705738202788462</c:v>
                </c:pt>
                <c:pt idx="11">
                  <c:v>0.43057238629154759</c:v>
                </c:pt>
                <c:pt idx="12">
                  <c:v>0.35602633013372836</c:v>
                </c:pt>
                <c:pt idx="13">
                  <c:v>0.44633203815093508</c:v>
                </c:pt>
                <c:pt idx="14">
                  <c:v>0.45966970321989226</c:v>
                </c:pt>
                <c:pt idx="15">
                  <c:v>0.5703946138765057</c:v>
                </c:pt>
                <c:pt idx="16">
                  <c:v>0.63639199202958008</c:v>
                </c:pt>
                <c:pt idx="17">
                  <c:v>0.58703974272999504</c:v>
                </c:pt>
                <c:pt idx="18">
                  <c:v>0.57743400770900644</c:v>
                </c:pt>
                <c:pt idx="19">
                  <c:v>0.58593891605792892</c:v>
                </c:pt>
                <c:pt idx="20">
                  <c:v>0.54833656366057704</c:v>
                </c:pt>
                <c:pt idx="21">
                  <c:v>0.4546794583781158</c:v>
                </c:pt>
                <c:pt idx="22">
                  <c:v>0.53899316542987641</c:v>
                </c:pt>
                <c:pt idx="23">
                  <c:v>0.36016962960498305</c:v>
                </c:pt>
                <c:pt idx="24">
                  <c:v>0.28956401933540388</c:v>
                </c:pt>
                <c:pt idx="25">
                  <c:v>0.33222431400494007</c:v>
                </c:pt>
                <c:pt idx="26">
                  <c:v>0.41202858632941103</c:v>
                </c:pt>
                <c:pt idx="27">
                  <c:v>0.29954003832229331</c:v>
                </c:pt>
                <c:pt idx="28">
                  <c:v>0.44956158993782153</c:v>
                </c:pt>
                <c:pt idx="29">
                  <c:v>0.55716884429898195</c:v>
                </c:pt>
                <c:pt idx="30">
                  <c:v>0.63980002160749883</c:v>
                </c:pt>
                <c:pt idx="31">
                  <c:v>0.44078595595735026</c:v>
                </c:pt>
                <c:pt idx="32">
                  <c:v>0.28456156859399928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E14-AA4E-B88B-0F7BE8FFAC2B}"/>
            </c:ext>
          </c:extLst>
        </c:ser>
        <c:ser>
          <c:idx val="5"/>
          <c:order val="5"/>
          <c:tx>
            <c:strRef>
              <c:f>Sheet1!$V$1</c:f>
              <c:strCache>
                <c:ptCount val="1"/>
                <c:pt idx="0">
                  <c:v>Cash 💴 RSD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val>
            <c:numRef>
              <c:f>Sheet1!$Y$3:$Y$67</c:f>
              <c:numCache>
                <c:formatCode>0%</c:formatCode>
                <c:ptCount val="65"/>
                <c:pt idx="0">
                  <c:v>2.1629862068686639E-2</c:v>
                </c:pt>
                <c:pt idx="1">
                  <c:v>1.3174074001012634E-2</c:v>
                </c:pt>
                <c:pt idx="2">
                  <c:v>1.0145570666597057E-2</c:v>
                </c:pt>
                <c:pt idx="3">
                  <c:v>4.177043998350379E-3</c:v>
                </c:pt>
                <c:pt idx="4">
                  <c:v>8.9502534012098744E-3</c:v>
                </c:pt>
                <c:pt idx="5">
                  <c:v>2.6269588258655073E-2</c:v>
                </c:pt>
                <c:pt idx="6">
                  <c:v>2.979667412839703E-3</c:v>
                </c:pt>
                <c:pt idx="7">
                  <c:v>1.7960780682604635E-3</c:v>
                </c:pt>
                <c:pt idx="8">
                  <c:v>5.6707025185568805E-2</c:v>
                </c:pt>
                <c:pt idx="9">
                  <c:v>1.2637081097071377E-2</c:v>
                </c:pt>
                <c:pt idx="10">
                  <c:v>0.14412181550341055</c:v>
                </c:pt>
                <c:pt idx="11">
                  <c:v>0.12109521406709602</c:v>
                </c:pt>
                <c:pt idx="12">
                  <c:v>0.10969952067032826</c:v>
                </c:pt>
                <c:pt idx="13">
                  <c:v>9.1670573402939451E-2</c:v>
                </c:pt>
                <c:pt idx="14">
                  <c:v>4.6068236507390857E-2</c:v>
                </c:pt>
                <c:pt idx="15">
                  <c:v>5.6965758772400753E-2</c:v>
                </c:pt>
                <c:pt idx="16">
                  <c:v>1.5698577619230755E-2</c:v>
                </c:pt>
                <c:pt idx="17">
                  <c:v>0.13215108349504501</c:v>
                </c:pt>
                <c:pt idx="18">
                  <c:v>7.8915009957791424E-2</c:v>
                </c:pt>
                <c:pt idx="19">
                  <c:v>1.757050098476327E-2</c:v>
                </c:pt>
                <c:pt idx="20">
                  <c:v>1.2901030314379438E-2</c:v>
                </c:pt>
                <c:pt idx="21">
                  <c:v>8.9610087702381071E-3</c:v>
                </c:pt>
                <c:pt idx="22">
                  <c:v>4.1606828330233873E-2</c:v>
                </c:pt>
                <c:pt idx="23">
                  <c:v>1.0068742089845971E-2</c:v>
                </c:pt>
                <c:pt idx="24">
                  <c:v>3.8262148845246715E-3</c:v>
                </c:pt>
                <c:pt idx="25">
                  <c:v>8.8571483598230069E-2</c:v>
                </c:pt>
                <c:pt idx="26">
                  <c:v>1.2851828612405882E-2</c:v>
                </c:pt>
                <c:pt idx="27">
                  <c:v>1.3969511649694691E-2</c:v>
                </c:pt>
                <c:pt idx="28">
                  <c:v>2.7503768016218224E-3</c:v>
                </c:pt>
                <c:pt idx="29">
                  <c:v>1.3646946825429038E-2</c:v>
                </c:pt>
                <c:pt idx="30">
                  <c:v>1.7770681002944762E-2</c:v>
                </c:pt>
                <c:pt idx="31">
                  <c:v>8.8076313034413656E-2</c:v>
                </c:pt>
                <c:pt idx="32">
                  <c:v>0.10699248410920233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E14-AA4E-B88B-0F7BE8FFA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085040"/>
        <c:axId val="193309072"/>
      </c:lineChart>
      <c:dateAx>
        <c:axId val="198608504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93309072"/>
        <c:crosses val="autoZero"/>
        <c:auto val="0"/>
        <c:lblOffset val="100"/>
        <c:baseTimeUnit val="days"/>
        <c:majorUnit val="15"/>
        <c:majorTimeUnit val="days"/>
        <c:minorUnit val="15"/>
        <c:minorTimeUnit val="days"/>
      </c:dateAx>
      <c:valAx>
        <c:axId val="1933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98608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 w="0">
          <a:solidFill>
            <a:srgbClr val="7030A0">
              <a:alpha val="0"/>
            </a:srgb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0</xdr:row>
          <xdr:rowOff>12700</xdr:rowOff>
        </xdr:from>
        <xdr:to>
          <xdr:col>4</xdr:col>
          <xdr:colOff>0</xdr:colOff>
          <xdr:row>1</xdr:row>
          <xdr:rowOff>25400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0</xdr:row>
          <xdr:rowOff>12700</xdr:rowOff>
        </xdr:from>
        <xdr:to>
          <xdr:col>8</xdr:col>
          <xdr:colOff>12700</xdr:colOff>
          <xdr:row>1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584200</xdr:colOff>
          <xdr:row>0</xdr:row>
          <xdr:rowOff>12700</xdr:rowOff>
        </xdr:from>
        <xdr:to>
          <xdr:col>12</xdr:col>
          <xdr:colOff>12700</xdr:colOff>
          <xdr:row>1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469900</xdr:colOff>
          <xdr:row>0</xdr:row>
          <xdr:rowOff>0</xdr:rowOff>
        </xdr:from>
        <xdr:to>
          <xdr:col>15</xdr:col>
          <xdr:colOff>723900</xdr:colOff>
          <xdr:row>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0</xdr:row>
          <xdr:rowOff>0</xdr:rowOff>
        </xdr:from>
        <xdr:to>
          <xdr:col>19</xdr:col>
          <xdr:colOff>673100</xdr:colOff>
          <xdr:row>1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419100</xdr:colOff>
          <xdr:row>0</xdr:row>
          <xdr:rowOff>0</xdr:rowOff>
        </xdr:from>
        <xdr:to>
          <xdr:col>23</xdr:col>
          <xdr:colOff>673100</xdr:colOff>
          <xdr:row>1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28</xdr:col>
      <xdr:colOff>536386</xdr:colOff>
      <xdr:row>0</xdr:row>
      <xdr:rowOff>71119</xdr:rowOff>
    </xdr:from>
    <xdr:to>
      <xdr:col>53</xdr:col>
      <xdr:colOff>335281</xdr:colOff>
      <xdr:row>61</xdr:row>
      <xdr:rowOff>104985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B9D8-8BC8-904B-B0BC-DFB7B271CF34}">
  <dimension ref="A1:AB38"/>
  <sheetViews>
    <sheetView tabSelected="1" topLeftCell="D7" workbookViewId="0">
      <selection activeCell="BF42" sqref="BF42"/>
    </sheetView>
  </sheetViews>
  <sheetFormatPr baseColWidth="10" defaultRowHeight="16" x14ac:dyDescent="0.2"/>
  <cols>
    <col min="2" max="2" width="12.6640625" customWidth="1"/>
  </cols>
  <sheetData>
    <row r="1" spans="1:28" x14ac:dyDescent="0.2">
      <c r="A1" s="2"/>
      <c r="B1" s="24" t="s">
        <v>9</v>
      </c>
      <c r="C1" s="25"/>
      <c r="D1" s="25"/>
      <c r="E1" s="26"/>
      <c r="F1" s="27" t="s">
        <v>8</v>
      </c>
      <c r="G1" s="28"/>
      <c r="H1" s="28"/>
      <c r="I1" s="29"/>
      <c r="J1" s="30" t="s">
        <v>10</v>
      </c>
      <c r="K1" s="31"/>
      <c r="L1" s="31"/>
      <c r="M1" s="32"/>
      <c r="N1" s="33" t="s">
        <v>1</v>
      </c>
      <c r="O1" s="34"/>
      <c r="P1" s="34"/>
      <c r="Q1" s="35"/>
      <c r="R1" s="36" t="s">
        <v>0</v>
      </c>
      <c r="S1" s="37"/>
      <c r="T1" s="37"/>
      <c r="U1" s="38"/>
      <c r="V1" s="39" t="s">
        <v>3</v>
      </c>
      <c r="W1" s="40"/>
      <c r="X1" s="40"/>
      <c r="Y1" s="41"/>
      <c r="Z1" s="21" t="s">
        <v>2</v>
      </c>
      <c r="AA1" s="22"/>
      <c r="AB1" s="23"/>
    </row>
    <row r="2" spans="1:28" ht="17" thickBot="1" x14ac:dyDescent="0.25">
      <c r="A2" s="2"/>
      <c r="B2" s="12" t="s">
        <v>7</v>
      </c>
      <c r="C2" s="13" t="s">
        <v>5</v>
      </c>
      <c r="D2" s="13" t="s">
        <v>4</v>
      </c>
      <c r="E2" s="14" t="s">
        <v>6</v>
      </c>
      <c r="F2" s="12" t="s">
        <v>7</v>
      </c>
      <c r="G2" s="15" t="s">
        <v>5</v>
      </c>
      <c r="H2" s="13" t="s">
        <v>4</v>
      </c>
      <c r="I2" s="14" t="s">
        <v>6</v>
      </c>
      <c r="J2" s="12" t="s">
        <v>7</v>
      </c>
      <c r="K2" s="15" t="s">
        <v>5</v>
      </c>
      <c r="L2" s="13" t="s">
        <v>4</v>
      </c>
      <c r="M2" s="14" t="s">
        <v>6</v>
      </c>
      <c r="N2" s="12" t="s">
        <v>7</v>
      </c>
      <c r="O2" s="15" t="s">
        <v>5</v>
      </c>
      <c r="P2" s="13" t="s">
        <v>4</v>
      </c>
      <c r="Q2" s="14"/>
      <c r="R2" s="12" t="s">
        <v>7</v>
      </c>
      <c r="S2" s="15" t="s">
        <v>5</v>
      </c>
      <c r="T2" s="13" t="s">
        <v>4</v>
      </c>
      <c r="U2" s="14" t="s">
        <v>6</v>
      </c>
      <c r="V2" s="12" t="s">
        <v>7</v>
      </c>
      <c r="W2" s="15" t="s">
        <v>5</v>
      </c>
      <c r="X2" s="13" t="s">
        <v>4</v>
      </c>
      <c r="Y2" s="14" t="s">
        <v>6</v>
      </c>
      <c r="Z2" s="12" t="s">
        <v>7</v>
      </c>
      <c r="AA2" s="15" t="s">
        <v>5</v>
      </c>
      <c r="AB2" s="14" t="s">
        <v>4</v>
      </c>
    </row>
    <row r="3" spans="1:28" x14ac:dyDescent="0.2">
      <c r="A3" s="4">
        <v>45580</v>
      </c>
      <c r="B3">
        <v>118.581</v>
      </c>
      <c r="C3" s="8"/>
      <c r="D3" s="8"/>
      <c r="E3" s="16">
        <f t="shared" ref="E3:E8" si="0">B3/$Z3</f>
        <v>2.7557956627051683E-2</v>
      </c>
      <c r="F3">
        <v>893.99459999999988</v>
      </c>
      <c r="G3" s="8"/>
      <c r="H3" s="8"/>
      <c r="I3" s="16">
        <f t="shared" ref="I3:I8" si="1">F3/$Z3</f>
        <v>0.20776232627164903</v>
      </c>
      <c r="J3">
        <v>0</v>
      </c>
      <c r="K3" s="8"/>
      <c r="L3" s="8"/>
      <c r="M3" s="16">
        <f t="shared" ref="M3:M8" si="2">J3/$Z3</f>
        <v>0</v>
      </c>
      <c r="N3">
        <v>1544.7632999999998</v>
      </c>
      <c r="O3" s="8"/>
      <c r="P3" s="8"/>
      <c r="Q3" s="16">
        <f t="shared" ref="Q3:Q8" si="3">N3/$Z3</f>
        <v>0.35899950262235281</v>
      </c>
      <c r="R3">
        <v>1652.5563</v>
      </c>
      <c r="S3" s="8"/>
      <c r="T3" s="8"/>
      <c r="U3" s="16">
        <f t="shared" ref="U3:U8" si="4">R3/$Z3</f>
        <v>0.3840503524102597</v>
      </c>
      <c r="V3">
        <v>93.072600000000008</v>
      </c>
      <c r="W3" s="8"/>
      <c r="X3" s="8"/>
      <c r="Y3" s="16">
        <f t="shared" ref="Y3:Y8" si="5">V3/$Z3</f>
        <v>2.1629862068686639E-2</v>
      </c>
      <c r="Z3" s="7">
        <f t="shared" ref="Z3:Z15" si="6">B3+F3+N3+R3+V3+J3</f>
        <v>4302.9678000000004</v>
      </c>
      <c r="AA3" s="8"/>
      <c r="AB3" s="9"/>
    </row>
    <row r="4" spans="1:28" x14ac:dyDescent="0.2">
      <c r="A4" s="5">
        <v>45597</v>
      </c>
      <c r="B4">
        <v>1276.0637999999999</v>
      </c>
      <c r="C4" s="3">
        <f t="shared" ref="C4:C10" si="7">B4-B3</f>
        <v>1157.4828</v>
      </c>
      <c r="D4" s="18">
        <f t="shared" ref="D4:D9" si="8">C4/B3</f>
        <v>9.7611151870873076</v>
      </c>
      <c r="E4" s="16">
        <f t="shared" si="0"/>
        <v>0.2411148153262449</v>
      </c>
      <c r="F4">
        <v>779.32859999999994</v>
      </c>
      <c r="G4" s="3">
        <f t="shared" ref="G4:G10" si="9">F4-F3</f>
        <v>-114.66599999999994</v>
      </c>
      <c r="H4" s="18">
        <f t="shared" ref="H4:H9" si="10">G4/F3</f>
        <v>-0.12826251970649483</v>
      </c>
      <c r="I4" s="16">
        <f t="shared" si="1"/>
        <v>0.14725570262823925</v>
      </c>
      <c r="J4">
        <v>0</v>
      </c>
      <c r="K4" s="3">
        <f t="shared" ref="K4:K10" si="11">J4-J3</f>
        <v>0</v>
      </c>
      <c r="L4" s="18" t="e">
        <f t="shared" ref="L4:L9" si="12">K4/J3</f>
        <v>#DIV/0!</v>
      </c>
      <c r="M4" s="16">
        <f t="shared" si="2"/>
        <v>0</v>
      </c>
      <c r="N4">
        <v>1610.6309999999999</v>
      </c>
      <c r="O4" s="3">
        <f t="shared" ref="O4:O10" si="13">N4-N3</f>
        <v>65.867700000000013</v>
      </c>
      <c r="P4" s="18">
        <f t="shared" ref="P4:P9" si="14">O4/N3</f>
        <v>4.2639348047691206E-2</v>
      </c>
      <c r="Q4" s="16">
        <f t="shared" si="3"/>
        <v>0.30433195904760024</v>
      </c>
      <c r="R4">
        <v>1556.604</v>
      </c>
      <c r="S4" s="3">
        <f t="shared" ref="S4:S10" si="15">R4-R3</f>
        <v>-95.952299999999923</v>
      </c>
      <c r="T4" s="18">
        <f t="shared" ref="T4:T9" si="16">S4/R3</f>
        <v>-5.8062953740214432E-2</v>
      </c>
      <c r="U4" s="16">
        <f t="shared" si="4"/>
        <v>0.29412344899690296</v>
      </c>
      <c r="V4">
        <v>69.721800000000002</v>
      </c>
      <c r="W4" s="3">
        <f t="shared" ref="W4:W10" si="17">V4-V3</f>
        <v>-23.350800000000007</v>
      </c>
      <c r="X4" s="18">
        <f t="shared" ref="X4:X9" si="18">W4/V3</f>
        <v>-0.25088801645167325</v>
      </c>
      <c r="Y4" s="16">
        <f t="shared" si="5"/>
        <v>1.3174074001012634E-2</v>
      </c>
      <c r="Z4" s="17">
        <f t="shared" si="6"/>
        <v>5292.3491999999997</v>
      </c>
      <c r="AA4" s="3">
        <f t="shared" ref="AA4:AA10" si="19">Z4-Z3</f>
        <v>989.3813999999993</v>
      </c>
      <c r="AB4" s="16">
        <f t="shared" ref="AB4:AB9" si="20">AA4/Z3</f>
        <v>0.22993000319453918</v>
      </c>
    </row>
    <row r="5" spans="1:28" x14ac:dyDescent="0.2">
      <c r="A5" s="5">
        <v>45611</v>
      </c>
      <c r="B5">
        <v>563.77739999999994</v>
      </c>
      <c r="C5" s="3">
        <f t="shared" si="7"/>
        <v>-712.28639999999996</v>
      </c>
      <c r="D5" s="18">
        <f t="shared" si="8"/>
        <v>-0.55819027230456664</v>
      </c>
      <c r="E5" s="16">
        <f t="shared" si="0"/>
        <v>0.18795119220606701</v>
      </c>
      <c r="F5">
        <v>612.71489999999994</v>
      </c>
      <c r="G5" s="3">
        <f t="shared" si="9"/>
        <v>-166.61369999999999</v>
      </c>
      <c r="H5" s="18">
        <f t="shared" si="10"/>
        <v>-0.21379133269329523</v>
      </c>
      <c r="I5" s="16">
        <f t="shared" si="1"/>
        <v>0.20426589632259315</v>
      </c>
      <c r="J5">
        <v>0</v>
      </c>
      <c r="K5" s="3">
        <f t="shared" si="11"/>
        <v>0</v>
      </c>
      <c r="L5" s="18" t="e">
        <f t="shared" si="12"/>
        <v>#DIV/0!</v>
      </c>
      <c r="M5" s="16">
        <f t="shared" si="2"/>
        <v>0</v>
      </c>
      <c r="N5">
        <v>462.67469999999997</v>
      </c>
      <c r="O5" s="3">
        <f t="shared" si="13"/>
        <v>-1147.9562999999998</v>
      </c>
      <c r="P5" s="18">
        <f t="shared" si="14"/>
        <v>-0.71273699562469617</v>
      </c>
      <c r="Q5" s="16">
        <f t="shared" si="3"/>
        <v>0.15424573859928475</v>
      </c>
      <c r="R5">
        <v>1329.9951000000001</v>
      </c>
      <c r="S5" s="3">
        <f t="shared" si="15"/>
        <v>-226.60889999999995</v>
      </c>
      <c r="T5" s="18">
        <f t="shared" si="16"/>
        <v>-0.14557902973395928</v>
      </c>
      <c r="U5" s="16">
        <f t="shared" si="4"/>
        <v>0.44339160220545798</v>
      </c>
      <c r="V5">
        <v>30.432599999999997</v>
      </c>
      <c r="W5" s="3">
        <f t="shared" si="17"/>
        <v>-39.289200000000008</v>
      </c>
      <c r="X5" s="18">
        <f t="shared" si="18"/>
        <v>-0.56351385076116811</v>
      </c>
      <c r="Y5" s="16">
        <f t="shared" si="5"/>
        <v>1.0145570666597057E-2</v>
      </c>
      <c r="Z5" s="17">
        <f t="shared" si="6"/>
        <v>2999.5947000000001</v>
      </c>
      <c r="AA5" s="3">
        <f t="shared" si="19"/>
        <v>-2292.7544999999996</v>
      </c>
      <c r="AB5" s="16">
        <f t="shared" si="20"/>
        <v>-0.4332205629968634</v>
      </c>
    </row>
    <row r="6" spans="1:28" x14ac:dyDescent="0.2">
      <c r="A6" s="5">
        <v>45627</v>
      </c>
      <c r="B6">
        <v>1470.3434999999999</v>
      </c>
      <c r="C6" s="3">
        <f t="shared" si="7"/>
        <v>906.56610000000001</v>
      </c>
      <c r="D6" s="18">
        <f t="shared" si="8"/>
        <v>1.6080213573655135</v>
      </c>
      <c r="E6" s="16">
        <f t="shared" si="0"/>
        <v>0.38937745225659448</v>
      </c>
      <c r="F6">
        <v>591.67830000000004</v>
      </c>
      <c r="G6" s="3">
        <f t="shared" si="9"/>
        <v>-21.036599999999908</v>
      </c>
      <c r="H6" s="18">
        <f t="shared" si="10"/>
        <v>-3.4333423260965105E-2</v>
      </c>
      <c r="I6" s="16">
        <f t="shared" si="1"/>
        <v>0.15668868465736954</v>
      </c>
      <c r="J6">
        <v>19.748999999999999</v>
      </c>
      <c r="K6" s="3">
        <f t="shared" si="11"/>
        <v>19.748999999999999</v>
      </c>
      <c r="L6" s="18" t="e">
        <f t="shared" si="12"/>
        <v>#DIV/0!</v>
      </c>
      <c r="M6" s="16">
        <f t="shared" si="2"/>
        <v>5.2299447745479096E-3</v>
      </c>
      <c r="N6">
        <v>527.92469999999992</v>
      </c>
      <c r="O6" s="3">
        <f t="shared" si="13"/>
        <v>65.249999999999943</v>
      </c>
      <c r="P6" s="18">
        <f t="shared" si="14"/>
        <v>0.14102781068426681</v>
      </c>
      <c r="Q6" s="16">
        <f t="shared" si="3"/>
        <v>0.13980540919133996</v>
      </c>
      <c r="R6">
        <v>1150.6706999999999</v>
      </c>
      <c r="S6" s="3">
        <f t="shared" si="15"/>
        <v>-179.3244000000002</v>
      </c>
      <c r="T6" s="18">
        <f t="shared" si="16"/>
        <v>-0.13483087268517019</v>
      </c>
      <c r="U6" s="16">
        <f t="shared" si="4"/>
        <v>0.30472146512179782</v>
      </c>
      <c r="V6">
        <v>15.773099999999999</v>
      </c>
      <c r="W6" s="3">
        <f t="shared" si="17"/>
        <v>-14.659499999999998</v>
      </c>
      <c r="X6" s="18">
        <f t="shared" si="18"/>
        <v>-0.48170383076043449</v>
      </c>
      <c r="Y6" s="16">
        <f t="shared" si="5"/>
        <v>4.177043998350379E-3</v>
      </c>
      <c r="Z6" s="17">
        <f t="shared" si="6"/>
        <v>3776.1392999999994</v>
      </c>
      <c r="AA6" s="3">
        <f t="shared" si="19"/>
        <v>776.54459999999926</v>
      </c>
      <c r="AB6" s="16">
        <f t="shared" si="20"/>
        <v>0.25888317511695802</v>
      </c>
    </row>
    <row r="7" spans="1:28" x14ac:dyDescent="0.2">
      <c r="A7" s="5">
        <v>45641</v>
      </c>
      <c r="B7">
        <v>776.91</v>
      </c>
      <c r="C7" s="3">
        <f t="shared" si="7"/>
        <v>-693.43349999999998</v>
      </c>
      <c r="D7" s="18">
        <f t="shared" si="8"/>
        <v>-0.4716132658797077</v>
      </c>
      <c r="E7" s="16">
        <f t="shared" si="0"/>
        <v>0.2028572661746299</v>
      </c>
      <c r="F7">
        <v>587.38919999999996</v>
      </c>
      <c r="G7" s="3">
        <f t="shared" si="9"/>
        <v>-4.2891000000000759</v>
      </c>
      <c r="H7" s="18">
        <f t="shared" si="10"/>
        <v>-7.2490405681602246E-3</v>
      </c>
      <c r="I7" s="16">
        <f t="shared" si="1"/>
        <v>0.15337190574519946</v>
      </c>
      <c r="J7">
        <v>1.1049</v>
      </c>
      <c r="K7" s="3">
        <f t="shared" si="11"/>
        <v>-18.644099999999998</v>
      </c>
      <c r="L7" s="18">
        <f t="shared" si="12"/>
        <v>-0.94405286343612327</v>
      </c>
      <c r="M7" s="16">
        <f t="shared" si="2"/>
        <v>2.8849801572427772E-4</v>
      </c>
      <c r="N7">
        <v>739.5</v>
      </c>
      <c r="O7" s="3">
        <f t="shared" si="13"/>
        <v>211.57530000000008</v>
      </c>
      <c r="P7" s="18">
        <f t="shared" si="14"/>
        <v>0.40076795042929442</v>
      </c>
      <c r="Q7" s="16">
        <f t="shared" si="3"/>
        <v>0.19308922312254806</v>
      </c>
      <c r="R7">
        <v>1690.6535999999999</v>
      </c>
      <c r="S7" s="3">
        <f t="shared" si="15"/>
        <v>539.98289999999997</v>
      </c>
      <c r="T7" s="18">
        <f t="shared" si="16"/>
        <v>0.46927665751808922</v>
      </c>
      <c r="U7" s="16">
        <f t="shared" si="4"/>
        <v>0.44144285354068846</v>
      </c>
      <c r="V7">
        <v>34.277999999999999</v>
      </c>
      <c r="W7" s="3">
        <f t="shared" si="17"/>
        <v>18.504899999999999</v>
      </c>
      <c r="X7" s="18">
        <f t="shared" si="18"/>
        <v>1.1731936017650304</v>
      </c>
      <c r="Y7" s="16">
        <f t="shared" si="5"/>
        <v>8.9502534012098744E-3</v>
      </c>
      <c r="Z7" s="17">
        <f t="shared" si="6"/>
        <v>3829.8356999999996</v>
      </c>
      <c r="AA7" s="3">
        <f t="shared" si="19"/>
        <v>53.696400000000267</v>
      </c>
      <c r="AB7" s="16">
        <f t="shared" si="20"/>
        <v>1.4219920329740027E-2</v>
      </c>
    </row>
    <row r="8" spans="1:28" x14ac:dyDescent="0.2">
      <c r="A8" s="5">
        <v>45658</v>
      </c>
      <c r="B8">
        <v>1156.8564000000001</v>
      </c>
      <c r="C8" s="3">
        <f t="shared" si="7"/>
        <v>379.94640000000015</v>
      </c>
      <c r="D8" s="18">
        <f t="shared" si="8"/>
        <v>0.48904815229563292</v>
      </c>
      <c r="E8" s="16">
        <f t="shared" si="0"/>
        <v>0.28856833456669828</v>
      </c>
      <c r="F8">
        <v>550.63170000000002</v>
      </c>
      <c r="G8" s="3">
        <f t="shared" si="9"/>
        <v>-36.757499999999936</v>
      </c>
      <c r="H8" s="18">
        <f t="shared" si="10"/>
        <v>-6.257775934593271E-2</v>
      </c>
      <c r="I8" s="16">
        <f t="shared" si="1"/>
        <v>0.13735055848645505</v>
      </c>
      <c r="J8">
        <v>106.20089999999999</v>
      </c>
      <c r="K8" s="3">
        <f t="shared" si="11"/>
        <v>105.09599999999999</v>
      </c>
      <c r="L8" s="18">
        <f t="shared" si="12"/>
        <v>95.11811023622046</v>
      </c>
      <c r="M8" s="16">
        <f t="shared" si="2"/>
        <v>2.6490942905692066E-2</v>
      </c>
      <c r="N8">
        <v>603.92789999999991</v>
      </c>
      <c r="O8" s="3">
        <f t="shared" si="13"/>
        <v>-135.57210000000009</v>
      </c>
      <c r="P8" s="18">
        <f t="shared" si="14"/>
        <v>-0.18332941176470602</v>
      </c>
      <c r="Q8" s="16">
        <f t="shared" si="3"/>
        <v>0.1506448581702651</v>
      </c>
      <c r="R8">
        <v>1486.0209</v>
      </c>
      <c r="S8" s="3">
        <f t="shared" si="15"/>
        <v>-204.63269999999989</v>
      </c>
      <c r="T8" s="18">
        <f t="shared" si="16"/>
        <v>-0.12103762710468892</v>
      </c>
      <c r="U8" s="16">
        <f t="shared" si="4"/>
        <v>0.37067571761223439</v>
      </c>
      <c r="V8">
        <v>105.31349999999999</v>
      </c>
      <c r="W8" s="3">
        <f t="shared" si="17"/>
        <v>71.035499999999985</v>
      </c>
      <c r="X8" s="18">
        <f t="shared" si="18"/>
        <v>2.0723350253807102</v>
      </c>
      <c r="Y8" s="16">
        <f t="shared" si="5"/>
        <v>2.6269588258655073E-2</v>
      </c>
      <c r="Z8" s="17">
        <f t="shared" si="6"/>
        <v>4008.9513000000002</v>
      </c>
      <c r="AA8" s="3">
        <f t="shared" si="19"/>
        <v>179.11560000000054</v>
      </c>
      <c r="AB8" s="16">
        <f t="shared" si="20"/>
        <v>4.6768481478200376E-2</v>
      </c>
    </row>
    <row r="9" spans="1:28" x14ac:dyDescent="0.2">
      <c r="A9" s="5">
        <v>45672</v>
      </c>
      <c r="B9">
        <v>965.17800000000011</v>
      </c>
      <c r="C9" s="3">
        <f t="shared" si="7"/>
        <v>-191.67840000000001</v>
      </c>
      <c r="D9" s="18">
        <f t="shared" si="8"/>
        <v>-0.16568901723671148</v>
      </c>
      <c r="E9" s="16">
        <f t="shared" ref="E9" si="21">B9/$Z9</f>
        <v>0.13936100454487213</v>
      </c>
      <c r="F9">
        <v>589.51200000000006</v>
      </c>
      <c r="G9" s="3">
        <f t="shared" si="9"/>
        <v>38.880300000000034</v>
      </c>
      <c r="H9" s="18">
        <f t="shared" si="10"/>
        <v>7.0610355342781816E-2</v>
      </c>
      <c r="I9" s="16">
        <f t="shared" ref="I9" si="22">F9/$Z9</f>
        <v>8.5118998268979049E-2</v>
      </c>
      <c r="J9">
        <v>89.262</v>
      </c>
      <c r="K9" s="3">
        <f t="shared" si="11"/>
        <v>-16.93889999999999</v>
      </c>
      <c r="L9" s="18">
        <f t="shared" si="12"/>
        <v>-0.15949864831653962</v>
      </c>
      <c r="M9" s="16">
        <f t="shared" ref="M9" si="23">J9/$Z9</f>
        <v>1.2888443362451667E-2</v>
      </c>
      <c r="N9">
        <v>707.42309999999998</v>
      </c>
      <c r="O9" s="3">
        <f t="shared" si="13"/>
        <v>103.49520000000007</v>
      </c>
      <c r="P9" s="18">
        <f t="shared" si="14"/>
        <v>0.17137012547358729</v>
      </c>
      <c r="Q9" s="16">
        <f t="shared" ref="Q9" si="24">N9/$Z9</f>
        <v>0.10214405410633844</v>
      </c>
      <c r="R9">
        <v>4553.7278999999999</v>
      </c>
      <c r="S9" s="3">
        <f t="shared" si="15"/>
        <v>3067.7069999999999</v>
      </c>
      <c r="T9" s="18">
        <f t="shared" si="16"/>
        <v>2.0643767527091978</v>
      </c>
      <c r="U9" s="16">
        <f t="shared" ref="U9" si="25">R9/$Z9</f>
        <v>0.65750783230451892</v>
      </c>
      <c r="V9">
        <v>20.636399999999998</v>
      </c>
      <c r="W9" s="3">
        <f t="shared" si="17"/>
        <v>-84.677099999999996</v>
      </c>
      <c r="X9" s="18">
        <f t="shared" si="18"/>
        <v>-0.8040479140850888</v>
      </c>
      <c r="Y9" s="16">
        <f t="shared" ref="Y9" si="26">V9/$Z9</f>
        <v>2.979667412839703E-3</v>
      </c>
      <c r="Z9" s="10">
        <f t="shared" si="6"/>
        <v>6925.7394000000004</v>
      </c>
      <c r="AA9" s="3">
        <f t="shared" si="19"/>
        <v>2916.7881000000002</v>
      </c>
      <c r="AB9" s="16">
        <f t="shared" si="20"/>
        <v>0.72756885323101828</v>
      </c>
    </row>
    <row r="10" spans="1:28" x14ac:dyDescent="0.2">
      <c r="A10" s="5">
        <v>45689</v>
      </c>
      <c r="B10">
        <v>1994.7012000000002</v>
      </c>
      <c r="C10" s="3">
        <f t="shared" si="7"/>
        <v>1029.5232000000001</v>
      </c>
      <c r="D10" s="18">
        <f t="shared" ref="D10" si="27">C10/B9</f>
        <v>1.0666666666666667</v>
      </c>
      <c r="E10" s="16">
        <f t="shared" ref="E10" si="28">B10/$Z10</f>
        <v>0.27217289833343428</v>
      </c>
      <c r="F10">
        <v>406.6728</v>
      </c>
      <c r="G10" s="3">
        <f t="shared" si="9"/>
        <v>-182.83920000000006</v>
      </c>
      <c r="H10" s="18">
        <f t="shared" ref="H10" si="29">G10/F9</f>
        <v>-0.31015348288075567</v>
      </c>
      <c r="I10" s="16">
        <f t="shared" ref="I10" si="30">F10/$Z10</f>
        <v>5.5489671660784598E-2</v>
      </c>
      <c r="J10">
        <v>0</v>
      </c>
      <c r="K10" s="3">
        <f t="shared" si="11"/>
        <v>-89.262</v>
      </c>
      <c r="L10" s="18">
        <f t="shared" ref="L10" si="31">K10/J9</f>
        <v>-1</v>
      </c>
      <c r="M10" s="16">
        <f t="shared" ref="M10" si="32">J10/$Z10</f>
        <v>0</v>
      </c>
      <c r="N10">
        <v>600.3261</v>
      </c>
      <c r="O10" s="3">
        <f t="shared" si="13"/>
        <v>-107.09699999999998</v>
      </c>
      <c r="P10" s="18">
        <f t="shared" ref="P10" si="33">O10/N9</f>
        <v>-0.15139030659304167</v>
      </c>
      <c r="Q10" s="16">
        <f t="shared" ref="Q10" si="34">N10/$Z10</f>
        <v>8.1913268304148551E-2</v>
      </c>
      <c r="R10">
        <v>4313.9385000000002</v>
      </c>
      <c r="S10" s="3">
        <f t="shared" si="15"/>
        <v>-239.78939999999966</v>
      </c>
      <c r="T10" s="18">
        <f t="shared" ref="T10" si="35">S10/R9</f>
        <v>-5.2657823494460368E-2</v>
      </c>
      <c r="U10" s="16">
        <f t="shared" ref="U10" si="36">R10/$Z10</f>
        <v>0.58862808363337216</v>
      </c>
      <c r="V10">
        <v>13.1631</v>
      </c>
      <c r="W10" s="3">
        <f t="shared" si="17"/>
        <v>-7.4732999999999983</v>
      </c>
      <c r="X10" s="18">
        <f t="shared" ref="X10" si="37">W10/V9</f>
        <v>-0.36214165261382791</v>
      </c>
      <c r="Y10" s="16">
        <f t="shared" ref="Y10" si="38">V10/$Z10</f>
        <v>1.7960780682604635E-3</v>
      </c>
      <c r="Z10" s="10">
        <f t="shared" si="6"/>
        <v>7328.8017</v>
      </c>
      <c r="AA10" s="3">
        <f t="shared" si="19"/>
        <v>403.0622999999996</v>
      </c>
      <c r="AB10" s="16">
        <f t="shared" ref="AB10" si="39">AA10/Z9</f>
        <v>5.8197728317643541E-2</v>
      </c>
    </row>
    <row r="11" spans="1:28" ht="17" thickBot="1" x14ac:dyDescent="0.25">
      <c r="A11" s="6">
        <v>45703</v>
      </c>
      <c r="B11">
        <v>1921.3428000000001</v>
      </c>
      <c r="C11" s="3">
        <f t="shared" ref="C11" si="40">B11-B10</f>
        <v>-73.358400000000074</v>
      </c>
      <c r="D11" s="18">
        <f t="shared" ref="D11" si="41">C11/B10</f>
        <v>-3.6776636019470017E-2</v>
      </c>
      <c r="E11" s="16">
        <f t="shared" ref="E11" si="42">B11/$Z11</f>
        <v>0.26232522559869625</v>
      </c>
      <c r="F11">
        <v>336.73349999999999</v>
      </c>
      <c r="G11" s="3">
        <f t="shared" ref="G11" si="43">F11-F10</f>
        <v>-69.939300000000003</v>
      </c>
      <c r="H11" s="18">
        <f t="shared" ref="H11" si="44">G11/F10</f>
        <v>-0.17197929145986651</v>
      </c>
      <c r="I11" s="16">
        <f t="shared" ref="I11" si="45">F11/$Z11</f>
        <v>4.5974977163959797E-2</v>
      </c>
      <c r="J11">
        <v>238.18859999999998</v>
      </c>
      <c r="K11" s="3">
        <f t="shared" ref="K11" si="46">J11-J10</f>
        <v>238.18859999999998</v>
      </c>
      <c r="L11" s="18" t="e">
        <f t="shared" ref="L11" si="47">K11/J10</f>
        <v>#DIV/0!</v>
      </c>
      <c r="M11" s="16">
        <f t="shared" ref="M11" si="48">J11/$Z11</f>
        <v>3.2520421774832484E-2</v>
      </c>
      <c r="N11">
        <v>496.21320000000003</v>
      </c>
      <c r="O11" s="3">
        <f t="shared" ref="O11" si="49">N11-N10</f>
        <v>-104.11289999999997</v>
      </c>
      <c r="P11" s="18">
        <f t="shared" ref="P11" si="50">O11/N10</f>
        <v>-0.17342724229381326</v>
      </c>
      <c r="Q11" s="16">
        <f t="shared" ref="Q11" si="51">N11/$Z11</f>
        <v>6.7749096951908311E-2</v>
      </c>
      <c r="R11">
        <v>3916.4616000000001</v>
      </c>
      <c r="S11" s="3">
        <f t="shared" ref="S11" si="52">R11-R10</f>
        <v>-397.47690000000011</v>
      </c>
      <c r="T11" s="18">
        <f t="shared" ref="T11" si="53">S11/R10</f>
        <v>-9.2137822548930659E-2</v>
      </c>
      <c r="U11" s="16">
        <f t="shared" ref="U11" si="54">R11/$Z11</f>
        <v>0.53472325332503434</v>
      </c>
      <c r="V11">
        <v>415.33799999999997</v>
      </c>
      <c r="W11" s="3">
        <f t="shared" ref="W11" si="55">V11-V10</f>
        <v>402.17489999999998</v>
      </c>
      <c r="X11" s="18">
        <f t="shared" ref="X11" si="56">W11/V10</f>
        <v>30.553205551883675</v>
      </c>
      <c r="Y11" s="16">
        <f t="shared" ref="Y11" si="57">V11/$Z11</f>
        <v>5.6707025185568805E-2</v>
      </c>
      <c r="Z11" s="11">
        <f t="shared" si="6"/>
        <v>7324.2777000000006</v>
      </c>
      <c r="AA11" s="3">
        <f t="shared" ref="AA11" si="58">Z11-Z10</f>
        <v>-4.5239999999994325</v>
      </c>
      <c r="AB11" s="16">
        <f t="shared" ref="AB11" si="59">AA11/Z10</f>
        <v>-6.1729054560166806E-4</v>
      </c>
    </row>
    <row r="12" spans="1:28" ht="17" thickBot="1" x14ac:dyDescent="0.25">
      <c r="A12" s="1">
        <v>45717</v>
      </c>
      <c r="B12">
        <v>2398.7639999999997</v>
      </c>
      <c r="C12" s="3">
        <f t="shared" ref="C12" si="60">B12-B11</f>
        <v>477.42119999999954</v>
      </c>
      <c r="D12" s="18">
        <f t="shared" ref="D12" si="61">C12/B11</f>
        <v>0.24848309213743613</v>
      </c>
      <c r="E12" s="16">
        <f t="shared" ref="E12" si="62">B12/$Z12</f>
        <v>0.36412331487977007</v>
      </c>
      <c r="F12">
        <v>482.34539999999998</v>
      </c>
      <c r="G12" s="3">
        <f t="shared" ref="G12" si="63">F12-F11</f>
        <v>145.61189999999999</v>
      </c>
      <c r="H12" s="18">
        <f t="shared" ref="H12" si="64">G12/F11</f>
        <v>0.43242475132411834</v>
      </c>
      <c r="I12" s="16">
        <f t="shared" ref="I12" si="65">F12/$Z12</f>
        <v>7.3218209863499972E-2</v>
      </c>
      <c r="J12">
        <v>128.7687</v>
      </c>
      <c r="K12" s="3">
        <f t="shared" ref="K12" si="66">J12-J11</f>
        <v>-109.41989999999998</v>
      </c>
      <c r="L12" s="18">
        <f t="shared" ref="L12" si="67">K12/J11</f>
        <v>-0.45938344656293373</v>
      </c>
      <c r="M12" s="16">
        <f t="shared" ref="M12" si="68">J12/$Z12</f>
        <v>1.9546602290495711E-2</v>
      </c>
      <c r="N12">
        <v>378.798</v>
      </c>
      <c r="O12" s="3">
        <f t="shared" ref="O12" si="69">N12-N11</f>
        <v>-117.41520000000003</v>
      </c>
      <c r="P12" s="18">
        <f t="shared" ref="P12" si="70">O12/N11</f>
        <v>-0.23662248404516451</v>
      </c>
      <c r="Q12" s="16">
        <f t="shared" ref="Q12" si="71">N12/$Z12</f>
        <v>5.7500105650171156E-2</v>
      </c>
      <c r="R12">
        <v>3115.8528000000001</v>
      </c>
      <c r="S12" s="3">
        <f t="shared" ref="S12" si="72">R12-R11</f>
        <v>-800.60879999999997</v>
      </c>
      <c r="T12" s="18">
        <f t="shared" ref="T12" si="73">S12/R11</f>
        <v>-0.20442146043254961</v>
      </c>
      <c r="U12" s="16">
        <f t="shared" ref="U12" si="74">R12/$Z12</f>
        <v>0.47297468621899169</v>
      </c>
      <c r="V12">
        <v>83.250299999999996</v>
      </c>
      <c r="W12" s="3">
        <f t="shared" ref="W12" si="75">V12-V11</f>
        <v>-332.08769999999998</v>
      </c>
      <c r="X12" s="18">
        <f t="shared" ref="X12" si="76">W12/V11</f>
        <v>-0.79956011730205279</v>
      </c>
      <c r="Y12" s="16">
        <f t="shared" ref="Y12" si="77">V12/$Z12</f>
        <v>1.2637081097071377E-2</v>
      </c>
      <c r="Z12" s="11">
        <f t="shared" si="6"/>
        <v>6587.7791999999999</v>
      </c>
      <c r="AA12" s="3">
        <f t="shared" ref="AA12" si="78">Z12-Z11</f>
        <v>-736.4985000000006</v>
      </c>
      <c r="AB12" s="16">
        <f t="shared" ref="AB12" si="79">AA12/Z11</f>
        <v>-0.10055578586267976</v>
      </c>
    </row>
    <row r="13" spans="1:28" ht="17" thickBot="1" x14ac:dyDescent="0.25">
      <c r="A13" s="1">
        <v>45731</v>
      </c>
      <c r="B13">
        <v>2152.9455000000003</v>
      </c>
      <c r="C13" s="3">
        <f t="shared" ref="C13" si="80">B13-B12</f>
        <v>-245.8184999999994</v>
      </c>
      <c r="D13" s="18">
        <f t="shared" ref="D13" si="81">C13/B12</f>
        <v>-0.10247715073262707</v>
      </c>
      <c r="E13" s="16">
        <f t="shared" ref="E13" si="82">B13/$Z13</f>
        <v>0.34554187931552088</v>
      </c>
      <c r="F13">
        <v>492.18510000000003</v>
      </c>
      <c r="G13" s="3">
        <f t="shared" ref="G13" si="83">F13-F12</f>
        <v>9.8397000000000503</v>
      </c>
      <c r="H13" s="18">
        <f t="shared" ref="H13" si="84">G13/F12</f>
        <v>2.0399696980628511E-2</v>
      </c>
      <c r="I13" s="16">
        <f t="shared" ref="I13" si="85">F13/$Z13</f>
        <v>7.899436582351832E-2</v>
      </c>
      <c r="J13">
        <v>135.15449999999998</v>
      </c>
      <c r="K13" s="3">
        <f t="shared" ref="K13" si="86">J13-J12</f>
        <v>6.385799999999989</v>
      </c>
      <c r="L13" s="18">
        <f t="shared" ref="L13" si="87">K13/J12</f>
        <v>4.9591243834875939E-2</v>
      </c>
      <c r="M13" s="16">
        <f t="shared" ref="M13" si="88">J13/$Z13</f>
        <v>2.1691928536021723E-2</v>
      </c>
      <c r="N13">
        <v>327.68549999999999</v>
      </c>
      <c r="O13" s="3">
        <f t="shared" ref="O13" si="89">N13-N12</f>
        <v>-51.112500000000011</v>
      </c>
      <c r="P13" s="18">
        <f t="shared" ref="P13" si="90">O13/N12</f>
        <v>-0.13493339457969686</v>
      </c>
      <c r="Q13" s="16">
        <f t="shared" ref="Q13" si="91">N13/$Z13</f>
        <v>5.2592628793643917E-2</v>
      </c>
      <c r="R13">
        <v>2224.6943999999999</v>
      </c>
      <c r="S13" s="3">
        <f t="shared" ref="S13" si="92">R13-R12</f>
        <v>-891.15840000000026</v>
      </c>
      <c r="T13" s="18">
        <f t="shared" ref="T13" si="93">S13/R12</f>
        <v>-0.28600786275911372</v>
      </c>
      <c r="U13" s="16">
        <f t="shared" ref="U13" si="94">R13/$Z13</f>
        <v>0.35705738202788462</v>
      </c>
      <c r="V13">
        <v>897.97050000000013</v>
      </c>
      <c r="W13" s="3">
        <f t="shared" ref="W13" si="95">V13-V12</f>
        <v>814.72020000000009</v>
      </c>
      <c r="X13" s="18">
        <f t="shared" ref="X13" si="96">W13/V12</f>
        <v>9.7863935625457223</v>
      </c>
      <c r="Y13" s="16">
        <f t="shared" ref="Y13" si="97">V13/$Z13</f>
        <v>0.14412181550341055</v>
      </c>
      <c r="Z13" s="11">
        <f t="shared" si="6"/>
        <v>6230.6355000000003</v>
      </c>
      <c r="AA13" s="3">
        <f t="shared" ref="AA13" si="98">Z13-Z12</f>
        <v>-357.14369999999963</v>
      </c>
      <c r="AB13" s="16">
        <f t="shared" ref="AB13" si="99">AA13/Z12</f>
        <v>-5.4213064700164758E-2</v>
      </c>
    </row>
    <row r="14" spans="1:28" x14ac:dyDescent="0.2">
      <c r="A14" s="1">
        <v>45762</v>
      </c>
      <c r="B14">
        <v>2034.3123000000001</v>
      </c>
      <c r="C14" s="3">
        <f t="shared" ref="C14" si="100">B14-B13</f>
        <v>-118.63320000000022</v>
      </c>
      <c r="D14" s="18">
        <f t="shared" ref="D14" si="101">C14/B13</f>
        <v>-5.5102741801871066E-2</v>
      </c>
      <c r="E14" s="16">
        <f t="shared" ref="E14" si="102">B14/$Z14</f>
        <v>0.30967980324924804</v>
      </c>
      <c r="F14">
        <v>432.59879999999998</v>
      </c>
      <c r="G14" s="3">
        <f t="shared" ref="G14" si="103">F14-F13</f>
        <v>-59.586300000000051</v>
      </c>
      <c r="H14" s="18">
        <f t="shared" ref="H14" si="104">G14/F13</f>
        <v>-0.12106481890654562</v>
      </c>
      <c r="I14" s="16">
        <f t="shared" ref="I14" si="105">F14/$Z14</f>
        <v>6.5853758673071375E-2</v>
      </c>
      <c r="J14">
        <v>177.14070000000001</v>
      </c>
      <c r="K14" s="3">
        <f t="shared" ref="K14" si="106">J14-J13</f>
        <v>41.986200000000025</v>
      </c>
      <c r="L14" s="18">
        <f t="shared" ref="L14" si="107">K14/J13</f>
        <v>0.31065336337302885</v>
      </c>
      <c r="M14" s="16">
        <f t="shared" ref="M14" si="108">J14/$Z14</f>
        <v>2.6965818927326975E-2</v>
      </c>
      <c r="N14">
        <v>301.08089999999999</v>
      </c>
      <c r="O14" s="3">
        <f t="shared" ref="O14" si="109">N14-N13</f>
        <v>-26.604600000000005</v>
      </c>
      <c r="P14" s="18">
        <f t="shared" ref="P14" si="110">O14/N13</f>
        <v>-8.1189433160759342E-2</v>
      </c>
      <c r="Q14" s="16">
        <f t="shared" ref="Q14" si="111">N14/$Z14</f>
        <v>4.5833018791709861E-2</v>
      </c>
      <c r="R14">
        <v>2828.4657000000002</v>
      </c>
      <c r="S14" s="3">
        <f t="shared" ref="S14" si="112">R14-R13</f>
        <v>603.77130000000034</v>
      </c>
      <c r="T14" s="18">
        <f t="shared" ref="T14" si="113">S14/R13</f>
        <v>0.27139516330872249</v>
      </c>
      <c r="U14" s="16">
        <f t="shared" ref="U14" si="114">R14/$Z14</f>
        <v>0.43057238629154759</v>
      </c>
      <c r="V14">
        <v>795.48450000000003</v>
      </c>
      <c r="W14" s="3">
        <f t="shared" ref="W14" si="115">V14-V13</f>
        <v>-102.4860000000001</v>
      </c>
      <c r="X14" s="18">
        <f t="shared" ref="X14" si="116">W14/V13</f>
        <v>-0.11413069805745299</v>
      </c>
      <c r="Y14" s="16">
        <f t="shared" ref="Y14" si="117">V14/$Z14</f>
        <v>0.12109521406709602</v>
      </c>
      <c r="Z14" s="19">
        <f t="shared" si="6"/>
        <v>6569.0829000000012</v>
      </c>
      <c r="AA14" s="3">
        <f t="shared" ref="AA14" si="118">Z14-Z13</f>
        <v>338.44740000000093</v>
      </c>
      <c r="AB14" s="16">
        <f t="shared" ref="AB14" si="119">AA14/Z13</f>
        <v>5.4319884384185356E-2</v>
      </c>
    </row>
    <row r="15" spans="1:28" x14ac:dyDescent="0.2">
      <c r="A15" s="1">
        <v>45778</v>
      </c>
      <c r="B15">
        <v>2977.8795</v>
      </c>
      <c r="C15" s="3">
        <f t="shared" ref="C15" si="120">B15-B14</f>
        <v>943.56719999999996</v>
      </c>
      <c r="D15" s="18">
        <f t="shared" ref="D15" si="121">C15/B14</f>
        <v>0.46382612935093592</v>
      </c>
      <c r="E15" s="16">
        <f t="shared" ref="E15" si="122">B15/$Z15</f>
        <v>0.41832574374317122</v>
      </c>
      <c r="F15">
        <v>432.64230000000003</v>
      </c>
      <c r="G15" s="3">
        <f t="shared" ref="G15" si="123">F15-F14</f>
        <v>4.3500000000051386E-2</v>
      </c>
      <c r="H15" s="18">
        <f t="shared" ref="H15" si="124">G15/F14</f>
        <v>1.0055506395313946E-4</v>
      </c>
      <c r="I15" s="16">
        <f t="shared" ref="I15" si="125">F15/$Z15</f>
        <v>6.0776606952113482E-2</v>
      </c>
      <c r="J15">
        <v>61.100100000000005</v>
      </c>
      <c r="K15" s="3">
        <f t="shared" ref="K15" si="126">J15-J14</f>
        <v>-116.04060000000001</v>
      </c>
      <c r="L15" s="18">
        <f t="shared" ref="L15" si="127">K15/J14</f>
        <v>-0.65507588035951081</v>
      </c>
      <c r="M15" s="16">
        <f t="shared" ref="M15" si="128">J15/$Z15</f>
        <v>8.5832031736952884E-3</v>
      </c>
      <c r="N15">
        <v>331.64400000000001</v>
      </c>
      <c r="O15" s="3">
        <f t="shared" ref="O15" si="129">N15-N14</f>
        <v>30.56310000000002</v>
      </c>
      <c r="P15" s="18">
        <f t="shared" ref="P15" si="130">O15/N14</f>
        <v>0.10151125494842091</v>
      </c>
      <c r="Q15" s="16">
        <f t="shared" ref="Q15" si="131">N15/$Z15</f>
        <v>4.658859532696346E-2</v>
      </c>
      <c r="R15">
        <v>2534.3969999999999</v>
      </c>
      <c r="S15" s="3">
        <f t="shared" ref="S15" si="132">R15-R14</f>
        <v>-294.06870000000026</v>
      </c>
      <c r="T15" s="18">
        <f t="shared" ref="T15" si="133">S15/R14</f>
        <v>-0.10396756799985245</v>
      </c>
      <c r="U15" s="16">
        <f t="shared" ref="U15" si="134">R15/$Z15</f>
        <v>0.35602633013372836</v>
      </c>
      <c r="V15">
        <v>780.90330000000006</v>
      </c>
      <c r="W15" s="3">
        <f t="shared" ref="W15" si="135">V15-V14</f>
        <v>-14.581199999999967</v>
      </c>
      <c r="X15" s="18">
        <f t="shared" ref="X15" si="136">W15/V14</f>
        <v>-1.8329961174604868E-2</v>
      </c>
      <c r="Y15" s="16">
        <f t="shared" ref="Y15" si="137">V15/$Z15</f>
        <v>0.10969952067032826</v>
      </c>
      <c r="Z15" s="19">
        <f t="shared" si="6"/>
        <v>7118.5661999999993</v>
      </c>
      <c r="AA15" s="3">
        <f t="shared" ref="AA15" si="138">Z15-Z14</f>
        <v>549.48329999999805</v>
      </c>
      <c r="AB15" s="16">
        <f t="shared" ref="AB15" si="139">AA15/Z14</f>
        <v>8.3646881667454362E-2</v>
      </c>
    </row>
    <row r="16" spans="1:28" x14ac:dyDescent="0.2">
      <c r="A16" s="1">
        <v>45792</v>
      </c>
      <c r="B16">
        <v>2318.9328</v>
      </c>
      <c r="C16" s="3">
        <f t="shared" ref="C16" si="140">B16-B15</f>
        <v>-658.94669999999996</v>
      </c>
      <c r="D16" s="18">
        <f t="shared" ref="D16" si="141">C16/B15</f>
        <v>-0.22128051185415662</v>
      </c>
      <c r="E16" s="16">
        <f t="shared" ref="E16:E18" si="142">B16/$Z16</f>
        <v>0.35298885189629003</v>
      </c>
      <c r="F16">
        <v>380.79899999999998</v>
      </c>
      <c r="G16" s="3">
        <f t="shared" ref="G16" si="143">F16-F15</f>
        <v>-51.843300000000056</v>
      </c>
      <c r="H16" s="18">
        <f t="shared" ref="H16" si="144">G16/F15</f>
        <v>-0.11982947575861179</v>
      </c>
      <c r="I16" s="16">
        <f t="shared" ref="I16:I18" si="145">F16/$Z16</f>
        <v>5.7965371749131897E-2</v>
      </c>
      <c r="J16">
        <v>263.65350000000001</v>
      </c>
      <c r="K16" s="3">
        <f t="shared" ref="K16" si="146">J16-J15</f>
        <v>202.55340000000001</v>
      </c>
      <c r="L16" s="18">
        <f t="shared" ref="L16" si="147">K16/J15</f>
        <v>3.3151075039157054</v>
      </c>
      <c r="M16" s="16">
        <f t="shared" ref="M16:M18" si="148">J16/$Z16</f>
        <v>4.0133438219269874E-2</v>
      </c>
      <c r="N16">
        <v>71.670599999999993</v>
      </c>
      <c r="O16" s="3">
        <f t="shared" ref="O16" si="149">N16-N15</f>
        <v>-259.97340000000003</v>
      </c>
      <c r="P16" s="18">
        <f t="shared" ref="P16" si="150">O16/N15</f>
        <v>-0.78389296956977972</v>
      </c>
      <c r="Q16" s="16">
        <f t="shared" ref="Q16:Q18" si="151">N16/$Z16</f>
        <v>1.0909726581433597E-2</v>
      </c>
      <c r="R16">
        <v>2932.1436000000003</v>
      </c>
      <c r="S16" s="3">
        <f t="shared" ref="S16" si="152">R16-R15</f>
        <v>397.7466000000004</v>
      </c>
      <c r="T16" s="18">
        <f t="shared" ref="T16" si="153">S16/R15</f>
        <v>0.15693934296797243</v>
      </c>
      <c r="U16" s="16">
        <f t="shared" ref="U16:U18" si="154">R16/$Z16</f>
        <v>0.44633203815093508</v>
      </c>
      <c r="V16">
        <v>602.22270000000003</v>
      </c>
      <c r="W16" s="3">
        <f t="shared" ref="W16" si="155">V16-V15</f>
        <v>-178.68060000000003</v>
      </c>
      <c r="X16" s="18">
        <f t="shared" ref="X16" si="156">W16/V15</f>
        <v>-0.22881270958901059</v>
      </c>
      <c r="Y16" s="16">
        <f t="shared" ref="Y16:Y18" si="157">V16/$Z16</f>
        <v>9.1670573402939451E-2</v>
      </c>
      <c r="Z16" s="19">
        <f t="shared" ref="Z16:Z30" si="158">B16+F16+N16+R16+V16+J16</f>
        <v>6569.4222000000009</v>
      </c>
      <c r="AA16" s="3">
        <f t="shared" ref="AA16" si="159">Z16-Z15</f>
        <v>-549.14399999999841</v>
      </c>
      <c r="AB16" s="16">
        <f t="shared" ref="AB16" si="160">AA16/Z15</f>
        <v>-7.7142500971613986E-2</v>
      </c>
    </row>
    <row r="17" spans="1:28" x14ac:dyDescent="0.2">
      <c r="A17" s="1">
        <v>45809</v>
      </c>
      <c r="B17">
        <v>2557.6608000000001</v>
      </c>
      <c r="C17" s="3">
        <f t="shared" ref="C17" si="161">B17-B16</f>
        <v>238.72800000000007</v>
      </c>
      <c r="D17" s="18">
        <f t="shared" ref="D17" si="162">C17/B16</f>
        <v>0.10294735578366052</v>
      </c>
      <c r="E17" s="20">
        <f t="shared" si="142"/>
        <v>0.42108399220808984</v>
      </c>
      <c r="F17">
        <v>281.60160000000002</v>
      </c>
      <c r="G17" s="3">
        <f t="shared" ref="G17" si="163">F17-F16</f>
        <v>-99.197399999999959</v>
      </c>
      <c r="H17" s="18">
        <f t="shared" ref="H17" si="164">G17/F16</f>
        <v>-0.26049805803061449</v>
      </c>
      <c r="I17" s="20">
        <f t="shared" si="145"/>
        <v>4.6361865474962759E-2</v>
      </c>
      <c r="J17">
        <v>89.844899999999996</v>
      </c>
      <c r="K17" s="3">
        <f t="shared" ref="K17" si="165">J17-J16</f>
        <v>-173.80860000000001</v>
      </c>
      <c r="L17" s="18">
        <f t="shared" ref="L17" si="166">K17/J16</f>
        <v>-0.65923114997525167</v>
      </c>
      <c r="M17" s="20">
        <f t="shared" si="148"/>
        <v>1.4791738283488025E-2</v>
      </c>
      <c r="N17">
        <v>73.036500000000004</v>
      </c>
      <c r="O17" s="3">
        <f t="shared" ref="O17" si="167">N17-N16</f>
        <v>1.3659000000000106</v>
      </c>
      <c r="P17" s="18">
        <f t="shared" ref="P17" si="168">O17/N16</f>
        <v>1.9058023792182719E-2</v>
      </c>
      <c r="Q17" s="20">
        <f t="shared" si="151"/>
        <v>1.2024464306176236E-2</v>
      </c>
      <c r="R17">
        <v>2792.0300999999999</v>
      </c>
      <c r="S17" s="3">
        <f t="shared" ref="S17" si="169">R17-R16</f>
        <v>-140.11350000000039</v>
      </c>
      <c r="T17" s="18">
        <f t="shared" ref="T17" si="170">S17/R16</f>
        <v>-4.7785347211507775E-2</v>
      </c>
      <c r="U17" s="20">
        <f t="shared" si="154"/>
        <v>0.45966970321989226</v>
      </c>
      <c r="V17">
        <v>279.81810000000002</v>
      </c>
      <c r="W17" s="3">
        <f t="shared" ref="W17" si="171">V17-V16</f>
        <v>-322.40460000000002</v>
      </c>
      <c r="X17" s="18">
        <f t="shared" ref="X17" si="172">W17/V16</f>
        <v>-0.53535776715158689</v>
      </c>
      <c r="Y17" s="20">
        <f t="shared" si="157"/>
        <v>4.6068236507390857E-2</v>
      </c>
      <c r="Z17" s="19">
        <f t="shared" si="158"/>
        <v>6073.9920000000002</v>
      </c>
      <c r="AA17" s="3">
        <f t="shared" ref="AA17" si="173">Z17-Z16</f>
        <v>-495.4302000000007</v>
      </c>
      <c r="AB17" s="16">
        <f t="shared" ref="AB17" si="174">AA17/Z16</f>
        <v>-7.5414577555998855E-2</v>
      </c>
    </row>
    <row r="18" spans="1:28" x14ac:dyDescent="0.2">
      <c r="A18" s="1">
        <v>45823</v>
      </c>
      <c r="B18">
        <v>2003.1054000000001</v>
      </c>
      <c r="C18" s="3">
        <f t="shared" ref="C18" si="175">B18-B17</f>
        <v>-554.55539999999996</v>
      </c>
      <c r="D18" s="18">
        <f t="shared" ref="D18" si="176">C18/B17</f>
        <v>-0.21682132360944811</v>
      </c>
      <c r="E18" s="20">
        <f t="shared" si="142"/>
        <v>0.30520571115732986</v>
      </c>
      <c r="F18">
        <v>244.67010000000002</v>
      </c>
      <c r="G18" s="3">
        <f t="shared" ref="G18" si="177">F18-F17</f>
        <v>-36.9315</v>
      </c>
      <c r="H18" s="18">
        <f t="shared" ref="H18" si="178">G18/F17</f>
        <v>-0.13114804745427583</v>
      </c>
      <c r="I18" s="20">
        <f t="shared" si="145"/>
        <v>3.7279472098390339E-2</v>
      </c>
      <c r="J18">
        <v>122.24369999999999</v>
      </c>
      <c r="K18" s="3">
        <f t="shared" ref="K18" si="179">J18-J17</f>
        <v>32.398799999999994</v>
      </c>
      <c r="L18" s="18">
        <f t="shared" ref="L18" si="180">K18/J17</f>
        <v>0.36060811465091502</v>
      </c>
      <c r="M18" s="20">
        <f t="shared" si="148"/>
        <v>1.8625817389840437E-2</v>
      </c>
      <c r="N18">
        <v>75.663899999999998</v>
      </c>
      <c r="O18" s="3">
        <f t="shared" ref="O18" si="181">N18-N17</f>
        <v>2.6273999999999944</v>
      </c>
      <c r="P18" s="18">
        <f t="shared" ref="P18" si="182">O18/N17</f>
        <v>3.5973793924955255E-2</v>
      </c>
      <c r="Q18" s="20">
        <f t="shared" si="151"/>
        <v>1.1528626705532865E-2</v>
      </c>
      <c r="R18">
        <v>3743.5752000000002</v>
      </c>
      <c r="S18" s="3">
        <f t="shared" ref="S18" si="183">R18-R17</f>
        <v>951.54510000000028</v>
      </c>
      <c r="T18" s="18">
        <f t="shared" ref="T18" si="184">S18/R17</f>
        <v>0.34080760805551497</v>
      </c>
      <c r="U18" s="20">
        <f t="shared" si="154"/>
        <v>0.5703946138765057</v>
      </c>
      <c r="V18">
        <v>373.87380000000002</v>
      </c>
      <c r="W18" s="3">
        <f t="shared" ref="W18" si="185">V18-V17</f>
        <v>94.055700000000002</v>
      </c>
      <c r="X18" s="18">
        <f t="shared" ref="X18" si="186">W18/V17</f>
        <v>0.33613157976556912</v>
      </c>
      <c r="Y18" s="20">
        <f t="shared" si="157"/>
        <v>5.6965758772400753E-2</v>
      </c>
      <c r="Z18" s="19">
        <f t="shared" si="158"/>
        <v>6563.1321000000007</v>
      </c>
      <c r="AA18" s="3">
        <f t="shared" ref="AA18" si="187">Z18-Z17</f>
        <v>489.14010000000053</v>
      </c>
      <c r="AB18" s="16">
        <f t="shared" ref="AB18" si="188">AA18/Z17</f>
        <v>8.0530250945342122E-2</v>
      </c>
    </row>
    <row r="19" spans="1:28" x14ac:dyDescent="0.2">
      <c r="A19" s="1">
        <v>45839</v>
      </c>
      <c r="B19">
        <v>2767.3742999999999</v>
      </c>
      <c r="C19" s="3">
        <f t="shared" ref="C19" si="189">B19-B18</f>
        <v>764.2688999999998</v>
      </c>
      <c r="D19" s="18">
        <f t="shared" ref="D19" si="190">C19/B18</f>
        <v>0.38154202969049944</v>
      </c>
      <c r="E19" s="20">
        <f t="shared" ref="E19" si="191">B19/$Z19</f>
        <v>0.32108698921833151</v>
      </c>
      <c r="F19">
        <v>208.26059999999998</v>
      </c>
      <c r="G19" s="3">
        <f t="shared" ref="G19" si="192">F19-F18</f>
        <v>-36.409500000000037</v>
      </c>
      <c r="H19" s="18">
        <f t="shared" ref="H19" si="193">G19/F18</f>
        <v>-0.14881058208583736</v>
      </c>
      <c r="I19" s="20">
        <f t="shared" ref="I19" si="194">F19/$Z19</f>
        <v>2.4163615679600424E-2</v>
      </c>
      <c r="J19">
        <v>0</v>
      </c>
      <c r="K19" s="3">
        <f t="shared" ref="K19" si="195">J19-J18</f>
        <v>-122.24369999999999</v>
      </c>
      <c r="L19" s="18">
        <f t="shared" ref="L19" si="196">K19/J18</f>
        <v>-1</v>
      </c>
      <c r="M19" s="20">
        <f t="shared" ref="M19" si="197">J19/$Z19</f>
        <v>0</v>
      </c>
      <c r="N19">
        <v>22.915800000000001</v>
      </c>
      <c r="O19" s="3">
        <f t="shared" ref="O19" si="198">N19-N18</f>
        <v>-52.748099999999994</v>
      </c>
      <c r="P19" s="18">
        <f t="shared" ref="P19" si="199">O19/N18</f>
        <v>-0.69713694377371505</v>
      </c>
      <c r="Q19" s="20">
        <f t="shared" ref="Q19" si="200">N19/$Z19</f>
        <v>2.6588254532570609E-3</v>
      </c>
      <c r="R19">
        <v>5484.915</v>
      </c>
      <c r="S19" s="3">
        <f t="shared" ref="S19" si="201">R19-R18</f>
        <v>1741.3397999999997</v>
      </c>
      <c r="T19" s="18">
        <f t="shared" ref="T19" si="202">S19/R18</f>
        <v>0.46515421942104962</v>
      </c>
      <c r="U19" s="20">
        <f t="shared" ref="U19" si="203">R19/$Z19</f>
        <v>0.63639199202958008</v>
      </c>
      <c r="V19">
        <v>135.30240000000001</v>
      </c>
      <c r="W19" s="3">
        <f t="shared" ref="W19" si="204">V19-V18</f>
        <v>-238.57140000000001</v>
      </c>
      <c r="X19" s="18">
        <f t="shared" ref="X19" si="205">W19/V18</f>
        <v>-0.63810676222832408</v>
      </c>
      <c r="Y19" s="20">
        <f t="shared" ref="Y19" si="206">V19/$Z19</f>
        <v>1.5698577619230755E-2</v>
      </c>
      <c r="Z19" s="19">
        <f t="shared" si="158"/>
        <v>8618.7681000000011</v>
      </c>
      <c r="AA19" s="3">
        <f t="shared" ref="AA19" si="207">Z19-Z18</f>
        <v>2055.6360000000004</v>
      </c>
      <c r="AB19" s="16">
        <f t="shared" ref="AB19" si="208">AA19/Z18</f>
        <v>0.31320960307960283</v>
      </c>
    </row>
    <row r="20" spans="1:28" x14ac:dyDescent="0.2">
      <c r="A20" s="1"/>
      <c r="B20">
        <v>2131.0911000000001</v>
      </c>
      <c r="C20" s="3">
        <f t="shared" ref="C20" si="209">B20-B19</f>
        <v>-636.28319999999985</v>
      </c>
      <c r="D20" s="18">
        <f t="shared" ref="D20" si="210">C20/B19</f>
        <v>-0.22992307184467237</v>
      </c>
      <c r="E20" s="20">
        <f t="shared" ref="E20:E21" si="211">B20/$Z20</f>
        <v>0.26451922235864678</v>
      </c>
      <c r="F20">
        <v>108.2715</v>
      </c>
      <c r="G20" s="3">
        <f t="shared" ref="G20" si="212">F20-F19</f>
        <v>-99.989099999999979</v>
      </c>
      <c r="H20" s="18">
        <f t="shared" ref="H20" si="213">G20/F19</f>
        <v>-0.48011529785278628</v>
      </c>
      <c r="I20" s="20">
        <f t="shared" ref="I20:I23" si="214">F20/$Z20</f>
        <v>1.3439074933776517E-2</v>
      </c>
      <c r="J20">
        <v>0</v>
      </c>
      <c r="K20" s="3">
        <f t="shared" ref="K20" si="215">J20-J19</f>
        <v>0</v>
      </c>
      <c r="L20" s="18" t="e">
        <f t="shared" ref="L20" si="216">K20/J19</f>
        <v>#DIV/0!</v>
      </c>
      <c r="M20" s="20">
        <f t="shared" ref="M20:M21" si="217">J20/$Z20</f>
        <v>0</v>
      </c>
      <c r="N20">
        <v>22.968</v>
      </c>
      <c r="O20" s="3">
        <f t="shared" ref="O20" si="218">N20-N19</f>
        <v>5.2199999999999136E-2</v>
      </c>
      <c r="P20" s="18">
        <f t="shared" ref="P20" si="219">O20/N19</f>
        <v>2.2779043280181854E-3</v>
      </c>
      <c r="Q20" s="20">
        <f t="shared" ref="Q20:Q22" si="220">N20/$Z20</f>
        <v>2.8508764825367623E-3</v>
      </c>
      <c r="R20">
        <v>4729.4678999999996</v>
      </c>
      <c r="S20" s="3">
        <f t="shared" ref="S20" si="221">R20-R19</f>
        <v>-755.44710000000032</v>
      </c>
      <c r="T20" s="18">
        <f t="shared" ref="T20" si="222">S20/R19</f>
        <v>-0.13773177888809587</v>
      </c>
      <c r="U20" s="20">
        <f t="shared" ref="U20:U22" si="223">R20/$Z20</f>
        <v>0.58703974272999504</v>
      </c>
      <c r="V20">
        <v>1064.6712</v>
      </c>
      <c r="W20" s="3">
        <f t="shared" ref="W20" si="224">V20-V19</f>
        <v>929.36879999999996</v>
      </c>
      <c r="X20" s="18">
        <f t="shared" ref="X20" si="225">W20/V19</f>
        <v>6.8688271604938267</v>
      </c>
      <c r="Y20" s="20">
        <f t="shared" ref="Y20:Y21" si="226">V20/$Z20</f>
        <v>0.13215108349504501</v>
      </c>
      <c r="Z20" s="19">
        <f t="shared" si="158"/>
        <v>8056.4696999999987</v>
      </c>
      <c r="AA20" s="3">
        <f t="shared" ref="AA20" si="227">Z20-Z19</f>
        <v>-562.2984000000024</v>
      </c>
      <c r="AB20" s="16">
        <f t="shared" ref="AB20" si="228">AA20/Z19</f>
        <v>-6.5241156679920684E-2</v>
      </c>
    </row>
    <row r="21" spans="1:28" x14ac:dyDescent="0.2">
      <c r="A21" s="1"/>
      <c r="B21">
        <v>3098.3310000000001</v>
      </c>
      <c r="C21" s="3">
        <f t="shared" ref="C21" si="229">B21-B20</f>
        <v>967.23990000000003</v>
      </c>
      <c r="D21" s="18">
        <f t="shared" ref="D21" si="230">C21/B20</f>
        <v>0.45387074255061177</v>
      </c>
      <c r="E21" s="20">
        <f t="shared" si="211"/>
        <v>0.34699298082881563</v>
      </c>
      <c r="F21">
        <v>103.0254</v>
      </c>
      <c r="G21" s="3">
        <f t="shared" ref="G21" si="231">F21-F20</f>
        <v>-5.2460999999999984</v>
      </c>
      <c r="H21" s="18">
        <f t="shared" ref="H21" si="232">G21/F20</f>
        <v>-4.8453194053836864E-2</v>
      </c>
      <c r="I21" s="20">
        <f t="shared" si="214"/>
        <v>1.1538176730336773E-2</v>
      </c>
      <c r="J21">
        <v>-155.83440000000002</v>
      </c>
      <c r="K21" s="3">
        <f t="shared" ref="K21" si="233">J21-J20</f>
        <v>-155.83440000000002</v>
      </c>
      <c r="L21" s="18" t="e">
        <f t="shared" ref="L21" si="234">K21/J20</f>
        <v>#DIV/0!</v>
      </c>
      <c r="M21" s="20">
        <f t="shared" si="217"/>
        <v>-1.7452442289629479E-2</v>
      </c>
      <c r="N21">
        <v>22.968</v>
      </c>
      <c r="O21" s="3">
        <f t="shared" ref="O21" si="235">N21-N20</f>
        <v>0</v>
      </c>
      <c r="P21" s="18">
        <f t="shared" ref="P21" si="236">O21/N20</f>
        <v>0</v>
      </c>
      <c r="Q21" s="20">
        <f t="shared" si="220"/>
        <v>2.5722670636791991E-3</v>
      </c>
      <c r="R21">
        <v>5155.9593000000004</v>
      </c>
      <c r="S21" s="3">
        <f t="shared" ref="S21" si="237">R21-R20</f>
        <v>426.49140000000079</v>
      </c>
      <c r="T21" s="18">
        <f t="shared" ref="T21" si="238">S21/R20</f>
        <v>9.0177459498139489E-2</v>
      </c>
      <c r="U21" s="20">
        <f t="shared" si="223"/>
        <v>0.57743400770900644</v>
      </c>
      <c r="V21">
        <v>704.63909999999998</v>
      </c>
      <c r="W21" s="3">
        <f t="shared" ref="W21" si="239">V21-V20</f>
        <v>-360.03210000000001</v>
      </c>
      <c r="X21" s="18">
        <f t="shared" ref="X21" si="240">W21/V20</f>
        <v>-0.33816271164280581</v>
      </c>
      <c r="Y21" s="20">
        <f t="shared" si="226"/>
        <v>7.8915009957791424E-2</v>
      </c>
      <c r="Z21" s="19">
        <f t="shared" si="158"/>
        <v>8929.0884000000005</v>
      </c>
      <c r="AA21" s="3">
        <f t="shared" ref="AA21" si="241">Z21-Z20</f>
        <v>872.61870000000181</v>
      </c>
      <c r="AB21" s="16">
        <f t="shared" ref="AB21" si="242">AA21/Z20</f>
        <v>0.10831278866474256</v>
      </c>
    </row>
    <row r="22" spans="1:28" x14ac:dyDescent="0.2">
      <c r="A22" s="1"/>
      <c r="B22">
        <v>2756.1947999999998</v>
      </c>
      <c r="C22" s="3">
        <f t="shared" ref="C22:C28" si="243">B22-B21</f>
        <v>-342.13620000000037</v>
      </c>
      <c r="D22" s="18">
        <f t="shared" ref="D22" si="244">C22/B21</f>
        <v>-0.1104259680453768</v>
      </c>
      <c r="E22" s="20">
        <f t="shared" ref="E22" si="245">B22/$Z22</f>
        <v>0.2747485189524651</v>
      </c>
      <c r="F22">
        <v>98.379599999999996</v>
      </c>
      <c r="G22" s="3">
        <f t="shared" ref="G22:G23" si="246">F22-F21</f>
        <v>-4.6458000000000084</v>
      </c>
      <c r="H22" s="18">
        <f t="shared" ref="H22:H23" si="247">G22/F21</f>
        <v>-4.5093734166526005E-2</v>
      </c>
      <c r="I22" s="20">
        <f t="shared" si="214"/>
        <v>9.8068719218017304E-3</v>
      </c>
      <c r="J22">
        <v>1099.7756999999999</v>
      </c>
      <c r="K22" s="3">
        <f t="shared" ref="K22" si="248">J22-J21</f>
        <v>1255.6100999999999</v>
      </c>
      <c r="L22" s="18">
        <f t="shared" ref="L22" si="249">K22/J21</f>
        <v>-8.0573358642250987</v>
      </c>
      <c r="M22" s="20">
        <f t="shared" ref="M22" si="250">J22/$Z22</f>
        <v>0.10963003948592841</v>
      </c>
      <c r="N22">
        <v>23.124599999999997</v>
      </c>
      <c r="O22" s="3">
        <f t="shared" ref="O22" si="251">N22-N21</f>
        <v>0.15659999999999741</v>
      </c>
      <c r="P22" s="18">
        <f t="shared" ref="P22" si="252">O22/N21</f>
        <v>6.8181818181817051E-3</v>
      </c>
      <c r="Q22" s="20">
        <f t="shared" si="220"/>
        <v>2.3051525971125751E-3</v>
      </c>
      <c r="R22">
        <v>5877.9636</v>
      </c>
      <c r="S22" s="3">
        <f t="shared" ref="S22" si="253">R22-R21</f>
        <v>722.0042999999996</v>
      </c>
      <c r="T22" s="18">
        <f t="shared" ref="T22" si="254">S22/R21</f>
        <v>0.14003297116794533</v>
      </c>
      <c r="U22" s="20">
        <f t="shared" si="223"/>
        <v>0.58593891605792892</v>
      </c>
      <c r="V22">
        <v>176.262</v>
      </c>
      <c r="W22" s="3">
        <f t="shared" ref="W22" si="255">V22-V21</f>
        <v>-528.37709999999993</v>
      </c>
      <c r="X22" s="18">
        <f t="shared" ref="X22" si="256">W22/V21</f>
        <v>-0.74985492573432266</v>
      </c>
      <c r="Y22" s="20">
        <f t="shared" ref="Y22" si="257">V22/$Z22</f>
        <v>1.757050098476327E-2</v>
      </c>
      <c r="Z22" s="19">
        <f t="shared" si="158"/>
        <v>10031.7003</v>
      </c>
      <c r="AA22" s="3">
        <f t="shared" ref="AA22" si="258">Z22-Z21</f>
        <v>1102.6118999999999</v>
      </c>
      <c r="AB22" s="16">
        <f t="shared" ref="AB22" si="259">AA22/Z21</f>
        <v>0.12348538289754191</v>
      </c>
    </row>
    <row r="23" spans="1:28" x14ac:dyDescent="0.2">
      <c r="A23" s="1">
        <v>45915</v>
      </c>
      <c r="B23">
        <v>3079.6086</v>
      </c>
      <c r="C23" s="3">
        <f t="shared" si="243"/>
        <v>323.41380000000026</v>
      </c>
      <c r="D23" s="18">
        <f t="shared" ref="D23" si="260">C23/B22</f>
        <v>0.11734069014280134</v>
      </c>
      <c r="E23" s="20">
        <f t="shared" ref="E23" si="261">B23/$Z23</f>
        <v>0.33647810997814653</v>
      </c>
      <c r="F23">
        <v>239.65890000000002</v>
      </c>
      <c r="G23" s="3">
        <f t="shared" si="246"/>
        <v>141.27930000000003</v>
      </c>
      <c r="H23" s="18">
        <f t="shared" si="247"/>
        <v>1.4360629642730813</v>
      </c>
      <c r="I23" s="20">
        <f t="shared" si="214"/>
        <v>2.6185137199396583E-2</v>
      </c>
      <c r="J23">
        <v>673.26689999999996</v>
      </c>
      <c r="K23" s="3">
        <f t="shared" ref="K23" si="262">J23-J22</f>
        <v>-426.50879999999995</v>
      </c>
      <c r="L23" s="18">
        <f t="shared" ref="L23" si="263">K23/J22</f>
        <v>-0.38781435159914879</v>
      </c>
      <c r="M23" s="20">
        <f t="shared" ref="M23" si="264">J23/$Z23</f>
        <v>7.3561157746749303E-2</v>
      </c>
      <c r="N23">
        <v>23.228999999999999</v>
      </c>
      <c r="O23" s="3">
        <f t="shared" ref="O23" si="265">N23-N22</f>
        <v>0.10440000000000182</v>
      </c>
      <c r="P23" s="18">
        <f t="shared" ref="P23" si="266">O23/N22</f>
        <v>4.5146726862303277E-3</v>
      </c>
      <c r="Q23" s="20">
        <f t="shared" ref="Q23" si="267">N23/$Z23</f>
        <v>2.5380011007510388E-3</v>
      </c>
      <c r="R23">
        <v>5018.6385</v>
      </c>
      <c r="S23" s="3">
        <f t="shared" ref="S23" si="268">R23-R22</f>
        <v>-859.32510000000002</v>
      </c>
      <c r="T23" s="18">
        <f t="shared" ref="T23" si="269">S23/R22</f>
        <v>-0.14619435547372223</v>
      </c>
      <c r="U23" s="20">
        <f t="shared" ref="U23" si="270">R23/$Z23</f>
        <v>0.54833656366057704</v>
      </c>
      <c r="V23">
        <v>118.07639999999999</v>
      </c>
      <c r="W23" s="3">
        <f t="shared" ref="W23" si="271">V23-V22</f>
        <v>-58.185600000000008</v>
      </c>
      <c r="X23" s="18">
        <f t="shared" ref="X23" si="272">W23/V22</f>
        <v>-0.33010858835143142</v>
      </c>
      <c r="Y23" s="20">
        <f t="shared" ref="Y23" si="273">V23/$Z23</f>
        <v>1.2901030314379438E-2</v>
      </c>
      <c r="Z23" s="19">
        <f t="shared" si="158"/>
        <v>9152.4783000000007</v>
      </c>
      <c r="AA23" s="3">
        <f t="shared" ref="AA23" si="274">Z23-Z22</f>
        <v>-879.22199999999975</v>
      </c>
      <c r="AB23" s="16">
        <f t="shared" ref="AB23" si="275">AA23/Z22</f>
        <v>-8.7644364734460786E-2</v>
      </c>
    </row>
    <row r="24" spans="1:28" x14ac:dyDescent="0.2">
      <c r="A24" s="1">
        <v>45931</v>
      </c>
      <c r="B24">
        <v>3869.0639999999999</v>
      </c>
      <c r="C24" s="3">
        <f t="shared" si="243"/>
        <v>789.45539999999983</v>
      </c>
      <c r="D24" s="18">
        <f t="shared" ref="D24" si="276">C24/B23</f>
        <v>0.25634926464356539</v>
      </c>
      <c r="E24" s="20">
        <f t="shared" ref="E24" si="277">B24/$Z24</f>
        <v>0.46360398095629263</v>
      </c>
      <c r="F24">
        <v>149.63130000000001</v>
      </c>
      <c r="G24" s="3">
        <f t="shared" ref="G24" si="278">F24-F23</f>
        <v>-90.027600000000007</v>
      </c>
      <c r="H24" s="18">
        <f t="shared" ref="H24" si="279">G24/F23</f>
        <v>-0.37564889098631432</v>
      </c>
      <c r="I24" s="20">
        <f t="shared" ref="I24" si="280">F24/$Z24</f>
        <v>1.7929314778888466E-2</v>
      </c>
      <c r="J24">
        <v>434.33010000000002</v>
      </c>
      <c r="K24" s="3">
        <f t="shared" ref="K24" si="281">J24-J23</f>
        <v>-238.93679999999995</v>
      </c>
      <c r="L24" s="18">
        <f t="shared" ref="L24" si="282">K24/J23</f>
        <v>-0.3548916484680889</v>
      </c>
      <c r="M24" s="20">
        <f t="shared" ref="M24" si="283">J24/$Z24</f>
        <v>5.204286189350827E-2</v>
      </c>
      <c r="N24">
        <v>23.228999999999999</v>
      </c>
      <c r="O24" s="3">
        <f t="shared" ref="O24" si="284">N24-N23</f>
        <v>0</v>
      </c>
      <c r="P24" s="18">
        <f t="shared" ref="P24" si="285">O24/N23</f>
        <v>0</v>
      </c>
      <c r="Q24" s="20">
        <f t="shared" ref="Q24" si="286">N24/$Z24</f>
        <v>2.783375222956695E-3</v>
      </c>
      <c r="R24">
        <v>3794.5833000000002</v>
      </c>
      <c r="S24" s="3">
        <f t="shared" ref="S24" si="287">R24-R23</f>
        <v>-1224.0551999999998</v>
      </c>
      <c r="T24" s="18">
        <f t="shared" ref="T24" si="288">S24/R23</f>
        <v>-0.24390184708462262</v>
      </c>
      <c r="U24" s="20">
        <f t="shared" ref="U24" si="289">R24/$Z24</f>
        <v>0.4546794583781158</v>
      </c>
      <c r="V24">
        <v>74.785199999999989</v>
      </c>
      <c r="W24" s="3">
        <f t="shared" ref="W24" si="290">V24-V23</f>
        <v>-43.291200000000003</v>
      </c>
      <c r="X24" s="18">
        <f t="shared" ref="X24" si="291">W24/V23</f>
        <v>-0.36663719422340119</v>
      </c>
      <c r="Y24" s="20">
        <f t="shared" ref="Y24" si="292">V24/$Z24</f>
        <v>8.9610087702381071E-3</v>
      </c>
      <c r="Z24" s="19">
        <f t="shared" si="158"/>
        <v>8345.6229000000003</v>
      </c>
      <c r="AA24" s="3">
        <f t="shared" ref="AA24" si="293">Z24-Z23</f>
        <v>-806.85540000000037</v>
      </c>
      <c r="AB24" s="16">
        <f t="shared" ref="AB24" si="294">AA24/Z23</f>
        <v>-8.8157040481592869E-2</v>
      </c>
    </row>
    <row r="25" spans="1:28" x14ac:dyDescent="0.2">
      <c r="A25" s="1">
        <v>45945</v>
      </c>
      <c r="B25">
        <v>3355.7552999999998</v>
      </c>
      <c r="C25" s="3">
        <f t="shared" si="243"/>
        <v>-513.30870000000004</v>
      </c>
      <c r="D25" s="18">
        <f t="shared" ref="D25" si="295">C25/B24</f>
        <v>-0.13266999460334594</v>
      </c>
      <c r="E25" s="20">
        <f t="shared" ref="E25" si="296">B25/$Z25</f>
        <v>0.36467333704575255</v>
      </c>
      <c r="F25">
        <v>111.76020000000001</v>
      </c>
      <c r="G25" s="3">
        <f t="shared" ref="G25" si="297">F25-F24</f>
        <v>-37.871099999999998</v>
      </c>
      <c r="H25" s="18">
        <f t="shared" ref="H25" si="298">G25/F24</f>
        <v>-0.25309611023896733</v>
      </c>
      <c r="I25" s="20">
        <f t="shared" ref="I25" si="299">F25/$Z25</f>
        <v>1.2145094453967106E-2</v>
      </c>
      <c r="J25">
        <v>368.6103</v>
      </c>
      <c r="K25" s="3">
        <f t="shared" ref="K25" si="300">J25-J24</f>
        <v>-65.719800000000021</v>
      </c>
      <c r="L25" s="18">
        <f t="shared" ref="L25" si="301">K25/J24</f>
        <v>-0.15131302205396316</v>
      </c>
      <c r="M25" s="20">
        <f t="shared" ref="M25" si="302">J25/$Z25</f>
        <v>4.0057255715408087E-2</v>
      </c>
      <c r="N25">
        <v>23.228999999999999</v>
      </c>
      <c r="O25" s="3">
        <f t="shared" ref="O25" si="303">N25-N24</f>
        <v>0</v>
      </c>
      <c r="P25" s="18">
        <f t="shared" ref="P25" si="304">O25/N24</f>
        <v>0</v>
      </c>
      <c r="Q25" s="20">
        <f t="shared" ref="Q25" si="305">N25/$Z25</f>
        <v>2.5243190247619626E-3</v>
      </c>
      <c r="R25">
        <v>4959.8612999999996</v>
      </c>
      <c r="S25" s="3">
        <f t="shared" ref="S25" si="306">R25-R24</f>
        <v>1165.2779999999993</v>
      </c>
      <c r="T25" s="18">
        <f t="shared" ref="T25" si="307">S25/R24</f>
        <v>0.30708984567554476</v>
      </c>
      <c r="U25" s="20">
        <f t="shared" ref="U25" si="308">R25/$Z25</f>
        <v>0.53899316542987641</v>
      </c>
      <c r="V25">
        <v>382.86959999999999</v>
      </c>
      <c r="W25" s="3">
        <f t="shared" ref="W25" si="309">V25-V24</f>
        <v>308.08440000000002</v>
      </c>
      <c r="X25" s="18">
        <f t="shared" ref="X25" si="310">W25/V24</f>
        <v>4.1195905072126582</v>
      </c>
      <c r="Y25" s="20">
        <f t="shared" ref="Y25" si="311">V25/$Z25</f>
        <v>4.1606828330233873E-2</v>
      </c>
      <c r="Z25" s="19">
        <f t="shared" si="158"/>
        <v>9202.0856999999996</v>
      </c>
      <c r="AA25" s="3">
        <f t="shared" ref="AA25" si="312">Z25-Z24</f>
        <v>856.46279999999933</v>
      </c>
      <c r="AB25" s="16">
        <f t="shared" ref="AB25" si="313">AA25/Z24</f>
        <v>0.10262419117930661</v>
      </c>
    </row>
    <row r="26" spans="1:28" x14ac:dyDescent="0.2">
      <c r="A26" s="1">
        <v>45962</v>
      </c>
      <c r="B26">
        <v>4266.28</v>
      </c>
      <c r="C26" s="3">
        <f t="shared" si="243"/>
        <v>910.52469999999994</v>
      </c>
      <c r="D26" s="18">
        <f t="shared" ref="D26" si="314">C26/B25</f>
        <v>0.27133226907218178</v>
      </c>
      <c r="E26" s="20">
        <f t="shared" ref="E26" si="315">B26/$Z26</f>
        <v>0.4878045991717927</v>
      </c>
      <c r="F26">
        <v>1036.44</v>
      </c>
      <c r="G26" s="3">
        <f t="shared" ref="G26" si="316">F26-F25</f>
        <v>924.6798</v>
      </c>
      <c r="H26" s="18">
        <f t="shared" ref="H26" si="317">G26/F25</f>
        <v>8.273784406255535</v>
      </c>
      <c r="I26" s="20">
        <f t="shared" ref="I26" si="318">F26/$Z26</f>
        <v>0.1185060987008853</v>
      </c>
      <c r="J26">
        <v>181.87</v>
      </c>
      <c r="K26" s="3">
        <f t="shared" ref="K26" si="319">J26-J25</f>
        <v>-186.74029999999999</v>
      </c>
      <c r="L26" s="18">
        <f t="shared" ref="L26" si="320">K26/J25</f>
        <v>-0.50660629938989765</v>
      </c>
      <c r="M26" s="20">
        <f t="shared" ref="M26" si="321">J26/$Z26</f>
        <v>2.079493667817723E-2</v>
      </c>
      <c r="N26">
        <v>23.228999999999999</v>
      </c>
      <c r="O26" s="3">
        <f t="shared" ref="O26" si="322">N26-N25</f>
        <v>0</v>
      </c>
      <c r="P26" s="18">
        <f t="shared" ref="P26" si="323">O26/N25</f>
        <v>0</v>
      </c>
      <c r="Q26" s="20">
        <f t="shared" ref="Q26" si="324">N26/$Z26</f>
        <v>2.6559937543156036E-3</v>
      </c>
      <c r="R26">
        <v>3150</v>
      </c>
      <c r="S26" s="3">
        <f t="shared" ref="S26" si="325">R26-R25</f>
        <v>-1809.8612999999996</v>
      </c>
      <c r="T26" s="18">
        <f t="shared" ref="T26" si="326">S26/R25</f>
        <v>-0.36490159513129927</v>
      </c>
      <c r="U26" s="20">
        <f t="shared" ref="U26" si="327">R26/$Z26</f>
        <v>0.36016962960498305</v>
      </c>
      <c r="V26">
        <v>88.06</v>
      </c>
      <c r="W26" s="3">
        <f t="shared" ref="W26" si="328">V26-V25</f>
        <v>-294.80959999999999</v>
      </c>
      <c r="X26" s="18">
        <f t="shared" ref="X26" si="329">W26/V25</f>
        <v>-0.77000002089484254</v>
      </c>
      <c r="Y26" s="20">
        <f t="shared" ref="Y26" si="330">V26/$Z26</f>
        <v>1.0068742089845971E-2</v>
      </c>
      <c r="Z26" s="19">
        <f t="shared" si="158"/>
        <v>8745.8790000000008</v>
      </c>
      <c r="AA26" s="3">
        <f t="shared" ref="AA26" si="331">Z26-Z25</f>
        <v>-456.20669999999882</v>
      </c>
      <c r="AB26" s="16">
        <f t="shared" ref="AB26" si="332">AA26/Z25</f>
        <v>-4.9576445479093817E-2</v>
      </c>
    </row>
    <row r="27" spans="1:28" x14ac:dyDescent="0.2">
      <c r="A27" s="1">
        <v>45976</v>
      </c>
      <c r="B27">
        <v>3366.69</v>
      </c>
      <c r="C27" s="3">
        <f t="shared" si="243"/>
        <v>-899.58999999999969</v>
      </c>
      <c r="D27" s="18">
        <f t="shared" ref="D27" si="333">C27/B26</f>
        <v>-0.21086051548421569</v>
      </c>
      <c r="E27" s="20">
        <f t="shared" ref="E27" si="334">B27/$Z27</f>
        <v>0.3930936646194802</v>
      </c>
      <c r="F27">
        <v>1026</v>
      </c>
      <c r="G27" s="3">
        <f t="shared" ref="G27" si="335">F27-F26</f>
        <v>-10.440000000000055</v>
      </c>
      <c r="H27" s="18">
        <f t="shared" ref="H27" si="336">G27/F26</f>
        <v>-1.0072941993747881E-2</v>
      </c>
      <c r="I27" s="20">
        <f t="shared" ref="I27" si="337">F27/$Z27</f>
        <v>0.11979543703150176</v>
      </c>
      <c r="J27">
        <v>1634.14</v>
      </c>
      <c r="K27" s="3">
        <f t="shared" ref="K27" si="338">J27-J26</f>
        <v>1452.27</v>
      </c>
      <c r="L27" s="18">
        <f t="shared" ref="L27" si="339">K27/J26</f>
        <v>7.9852092153736178</v>
      </c>
      <c r="M27" s="20">
        <f t="shared" ref="M27" si="340">J27/$Z27</f>
        <v>0.1908016719986923</v>
      </c>
      <c r="N27">
        <v>25</v>
      </c>
      <c r="O27" s="3">
        <f t="shared" ref="O27" si="341">N27-N26</f>
        <v>1.7710000000000008</v>
      </c>
      <c r="P27" s="18">
        <f t="shared" ref="P27" si="342">O27/N26</f>
        <v>7.6240905764346334E-2</v>
      </c>
      <c r="Q27" s="20">
        <f t="shared" ref="Q27" si="343">N27/$Z27</f>
        <v>2.9189921303972165E-3</v>
      </c>
      <c r="R27">
        <v>2480</v>
      </c>
      <c r="S27" s="3">
        <f t="shared" ref="S27" si="344">R27-R26</f>
        <v>-670</v>
      </c>
      <c r="T27" s="18">
        <f t="shared" ref="T27" si="345">S27/R26</f>
        <v>-0.21269841269841269</v>
      </c>
      <c r="U27" s="20">
        <f t="shared" ref="U27" si="346">R27/$Z27</f>
        <v>0.28956401933540388</v>
      </c>
      <c r="V27">
        <v>32.770000000000003</v>
      </c>
      <c r="W27" s="3">
        <f t="shared" ref="W27" si="347">V27-V26</f>
        <v>-55.29</v>
      </c>
      <c r="X27" s="18">
        <f t="shared" ref="X27" si="348">W27/V26</f>
        <v>-0.62786736316148073</v>
      </c>
      <c r="Y27" s="20">
        <f t="shared" ref="Y27" si="349">V27/$Z27</f>
        <v>3.8262148845246715E-3</v>
      </c>
      <c r="Z27" s="19">
        <f t="shared" si="158"/>
        <v>8564.6</v>
      </c>
      <c r="AA27" s="3">
        <f t="shared" ref="AA27" si="350">Z27-Z26</f>
        <v>-181.27900000000045</v>
      </c>
      <c r="AB27" s="16">
        <f t="shared" ref="AB27" si="351">AA27/Z26</f>
        <v>-2.0727361995289489E-2</v>
      </c>
    </row>
    <row r="28" spans="1:28" x14ac:dyDescent="0.2">
      <c r="A28" s="1">
        <v>46006</v>
      </c>
      <c r="B28">
        <v>3002.08</v>
      </c>
      <c r="C28" s="3">
        <f t="shared" si="243"/>
        <v>-364.61000000000013</v>
      </c>
      <c r="D28" s="18">
        <f t="shared" ref="D28" si="352">C28/B27</f>
        <v>-0.10829924941114273</v>
      </c>
      <c r="E28" s="20">
        <f t="shared" ref="E28" si="353">B28/$Z28</f>
        <v>0.36136375673476462</v>
      </c>
      <c r="F28">
        <v>684</v>
      </c>
      <c r="G28" s="3">
        <f t="shared" ref="G28" si="354">F28-F27</f>
        <v>-342</v>
      </c>
      <c r="H28" s="18">
        <f t="shared" ref="H28" si="355">G28/F27</f>
        <v>-0.33333333333333331</v>
      </c>
      <c r="I28" s="20">
        <f t="shared" ref="I28" si="356">F28/$Z28</f>
        <v>8.2333851731659052E-2</v>
      </c>
      <c r="J28">
        <v>1100.74</v>
      </c>
      <c r="K28" s="3">
        <f t="shared" ref="K28" si="357">J28-J27</f>
        <v>-533.40000000000009</v>
      </c>
      <c r="L28" s="18">
        <f t="shared" ref="L28" si="358">K28/J27</f>
        <v>-0.32641022189041335</v>
      </c>
      <c r="M28" s="20">
        <f t="shared" ref="M28" si="359">J28/$Z28</f>
        <v>0.13249731572383974</v>
      </c>
      <c r="N28">
        <v>25</v>
      </c>
      <c r="O28" s="3">
        <f t="shared" ref="O28" si="360">N28-N27</f>
        <v>0</v>
      </c>
      <c r="P28" s="18">
        <f t="shared" ref="P28" si="361">O28/N27</f>
        <v>0</v>
      </c>
      <c r="Q28" s="20">
        <f t="shared" ref="Q28" si="362">N28/$Z28</f>
        <v>3.0092782065664859E-3</v>
      </c>
      <c r="R28">
        <v>2760</v>
      </c>
      <c r="S28" s="3">
        <f t="shared" ref="S28" si="363">R28-R27</f>
        <v>280</v>
      </c>
      <c r="T28" s="18">
        <f t="shared" ref="T28" si="364">S28/R27</f>
        <v>0.11290322580645161</v>
      </c>
      <c r="U28" s="20">
        <f t="shared" ref="U28" si="365">R28/$Z28</f>
        <v>0.33222431400494007</v>
      </c>
      <c r="V28">
        <v>735.82</v>
      </c>
      <c r="W28" s="3">
        <f t="shared" ref="W28" si="366">V28-V27</f>
        <v>703.05000000000007</v>
      </c>
      <c r="X28" s="18">
        <f t="shared" ref="X28" si="367">W28/V27</f>
        <v>21.454073848031737</v>
      </c>
      <c r="Y28" s="20">
        <f t="shared" ref="Y28" si="368">V28/$Z28</f>
        <v>8.8571483598230069E-2</v>
      </c>
      <c r="Z28" s="19">
        <f t="shared" ref="Z28" si="369">B28+F28+N28+R28+V28+J28</f>
        <v>8307.64</v>
      </c>
      <c r="AA28" s="3">
        <f t="shared" ref="AA28" si="370">Z28-Z27</f>
        <v>-256.96000000000095</v>
      </c>
      <c r="AB28" s="16">
        <f t="shared" ref="AB28" si="371">AA28/Z27</f>
        <v>-3.000256871307486E-2</v>
      </c>
    </row>
    <row r="29" spans="1:28" x14ac:dyDescent="0.2">
      <c r="A29" s="1">
        <v>46037</v>
      </c>
      <c r="B29">
        <v>3047.22</v>
      </c>
      <c r="C29" s="3">
        <f t="shared" ref="C29" si="372">B29-B28</f>
        <v>45.139999999999873</v>
      </c>
      <c r="D29" s="18">
        <f t="shared" ref="D29" si="373">C29/B28</f>
        <v>1.5036241539199446E-2</v>
      </c>
      <c r="E29" s="20">
        <f t="shared" ref="E29" si="374">B29/$Z29</f>
        <v>0.31039351021871642</v>
      </c>
      <c r="F29">
        <v>539</v>
      </c>
      <c r="G29" s="3">
        <f t="shared" ref="G29" si="375">F29-F28</f>
        <v>-145</v>
      </c>
      <c r="H29" s="18">
        <f t="shared" ref="H29" si="376">G29/F28</f>
        <v>-0.21198830409356725</v>
      </c>
      <c r="I29" s="20">
        <f t="shared" ref="I29" si="377">F29/$Z29</f>
        <v>5.4903191107923993E-2</v>
      </c>
      <c r="J29">
        <v>2034.89</v>
      </c>
      <c r="K29" s="3">
        <f t="shared" ref="K29" si="378">J29-J28</f>
        <v>934.15000000000009</v>
      </c>
      <c r="L29" s="18">
        <f t="shared" ref="L29" si="379">K29/J28</f>
        <v>0.84865635844977028</v>
      </c>
      <c r="M29" s="20">
        <f t="shared" ref="M29" si="380">J29/$Z29</f>
        <v>0.20727635353173185</v>
      </c>
      <c r="N29">
        <v>25</v>
      </c>
      <c r="O29" s="3">
        <f t="shared" ref="O29" si="381">N29-N28</f>
        <v>0</v>
      </c>
      <c r="P29" s="18">
        <f t="shared" ref="P29" si="382">O29/N28</f>
        <v>0</v>
      </c>
      <c r="Q29" s="20">
        <f t="shared" ref="Q29" si="383">N29/$Z29</f>
        <v>2.546530199810946E-3</v>
      </c>
      <c r="R29">
        <v>4045</v>
      </c>
      <c r="S29" s="3">
        <f t="shared" ref="S29" si="384">R29-R28</f>
        <v>1285</v>
      </c>
      <c r="T29" s="18">
        <f t="shared" ref="T29" si="385">S29/R28</f>
        <v>0.46557971014492755</v>
      </c>
      <c r="U29" s="20">
        <f t="shared" ref="U29" si="386">R29/$Z29</f>
        <v>0.41202858632941103</v>
      </c>
      <c r="V29">
        <v>126.17</v>
      </c>
      <c r="W29" s="3">
        <f t="shared" ref="W29:W30" si="387">V29-V28</f>
        <v>-609.65000000000009</v>
      </c>
      <c r="X29" s="18">
        <f t="shared" ref="X29:X30" si="388">W29/V28</f>
        <v>-0.82853143431817566</v>
      </c>
      <c r="Y29" s="20">
        <f t="shared" ref="Y29:Y30" si="389">V29/$Z29</f>
        <v>1.2851828612405882E-2</v>
      </c>
      <c r="Z29" s="19">
        <f t="shared" si="158"/>
        <v>9817.2799999999988</v>
      </c>
      <c r="AA29" s="3">
        <f t="shared" ref="AA29" si="390">Z29-Z28</f>
        <v>1509.6399999999994</v>
      </c>
      <c r="AB29" s="16">
        <f t="shared" ref="AB29" si="391">AA29/Z28</f>
        <v>0.18171707007044113</v>
      </c>
    </row>
    <row r="30" spans="1:28" x14ac:dyDescent="0.2">
      <c r="A30" s="1">
        <v>46054</v>
      </c>
      <c r="B30">
        <v>2258.0100000000002</v>
      </c>
      <c r="C30" s="3">
        <f t="shared" ref="C30" si="392">B30-B29</f>
        <v>-789.20999999999958</v>
      </c>
      <c r="D30" s="18">
        <f t="shared" ref="D30" si="393">C30/B29</f>
        <v>-0.25899344320396939</v>
      </c>
      <c r="E30" s="20">
        <f t="shared" ref="E30" si="394">B30/$Z30</f>
        <v>0.26576204398118725</v>
      </c>
      <c r="F30">
        <v>516</v>
      </c>
      <c r="G30" s="3">
        <f t="shared" ref="G30" si="395">F30-F29</f>
        <v>-23</v>
      </c>
      <c r="H30" s="18">
        <f t="shared" ref="H30" si="396">G30/F29</f>
        <v>-4.267161410018553E-2</v>
      </c>
      <c r="I30" s="20">
        <f t="shared" ref="I30" si="397">F30/$Z30</f>
        <v>6.0731889891671255E-2</v>
      </c>
      <c r="J30">
        <v>3033.66</v>
      </c>
      <c r="K30" s="3">
        <f t="shared" ref="K30" si="398">J30-J29</f>
        <v>998.76999999999975</v>
      </c>
      <c r="L30" s="18">
        <f t="shared" ref="L30" si="399">K30/J29</f>
        <v>0.49082259974740633</v>
      </c>
      <c r="M30" s="20">
        <f t="shared" ref="M30" si="400">J30/$Z30</f>
        <v>0.35705407962939417</v>
      </c>
      <c r="N30">
        <v>25</v>
      </c>
      <c r="O30" s="3">
        <f t="shared" ref="O30" si="401">N30-N29</f>
        <v>0</v>
      </c>
      <c r="P30" s="18">
        <f t="shared" ref="P30" si="402">O30/N29</f>
        <v>0</v>
      </c>
      <c r="Q30" s="20">
        <f t="shared" ref="Q30" si="403">N30/$Z30</f>
        <v>2.9424365257592661E-3</v>
      </c>
      <c r="R30">
        <v>2545</v>
      </c>
      <c r="S30" s="3">
        <f t="shared" ref="S30" si="404">R30-R29</f>
        <v>-1500</v>
      </c>
      <c r="T30" s="18">
        <f t="shared" ref="T30" si="405">S30/R29</f>
        <v>-0.37082818294190356</v>
      </c>
      <c r="U30" s="20">
        <f t="shared" ref="U30" si="406">R30/$Z30</f>
        <v>0.29954003832229331</v>
      </c>
      <c r="V30">
        <v>118.69</v>
      </c>
      <c r="W30" s="3">
        <f t="shared" si="387"/>
        <v>-7.480000000000004</v>
      </c>
      <c r="X30" s="18">
        <f t="shared" si="388"/>
        <v>-5.9285091543156088E-2</v>
      </c>
      <c r="Y30" s="20">
        <f t="shared" si="389"/>
        <v>1.3969511649694691E-2</v>
      </c>
      <c r="Z30" s="19">
        <f t="shared" si="158"/>
        <v>8496.36</v>
      </c>
      <c r="AA30" s="3">
        <f t="shared" ref="AA30" si="407">Z30-Z29</f>
        <v>-1320.9199999999983</v>
      </c>
      <c r="AB30" s="16">
        <f t="shared" ref="AB30" si="408">AA30/Z29</f>
        <v>-0.13455050686137082</v>
      </c>
    </row>
    <row r="31" spans="1:28" x14ac:dyDescent="0.2">
      <c r="A31" s="1">
        <v>46068</v>
      </c>
      <c r="B31">
        <v>1915.37</v>
      </c>
      <c r="C31" s="3">
        <f t="shared" ref="C31" si="409">B31-B30</f>
        <v>-342.64000000000033</v>
      </c>
      <c r="D31" s="18">
        <f t="shared" ref="D31" si="410">C31/B30</f>
        <v>-0.15174423496795864</v>
      </c>
      <c r="E31" s="20">
        <f t="shared" ref="E31" si="411">B31/$Z31</f>
        <v>0.19156324416445053</v>
      </c>
      <c r="F31">
        <v>512.53</v>
      </c>
      <c r="G31" s="3">
        <f t="shared" ref="G31" si="412">F31-F30</f>
        <v>-3.4700000000000273</v>
      </c>
      <c r="H31" s="18">
        <f t="shared" ref="H31" si="413">G31/F30</f>
        <v>-6.7248062015504402E-3</v>
      </c>
      <c r="I31" s="20">
        <f t="shared" ref="I31" si="414">F31/$Z31</f>
        <v>5.1260022623099366E-2</v>
      </c>
      <c r="J31">
        <v>3023.23</v>
      </c>
      <c r="K31" s="3">
        <f t="shared" ref="K31" si="415">J31-J30</f>
        <v>-10.429999999999836</v>
      </c>
      <c r="L31" s="18">
        <f t="shared" ref="L31" si="416">K31/J30</f>
        <v>-3.4380912824772177E-3</v>
      </c>
      <c r="M31" s="20">
        <f t="shared" ref="M31" si="417">J31/$Z31</f>
        <v>0.30236442392607787</v>
      </c>
      <c r="N31">
        <v>25</v>
      </c>
      <c r="O31" s="3">
        <f t="shared" ref="O31" si="418">N31-N30</f>
        <v>0</v>
      </c>
      <c r="P31" s="18">
        <f t="shared" ref="P31" si="419">O31/N30</f>
        <v>0</v>
      </c>
      <c r="Q31" s="20">
        <f t="shared" ref="Q31" si="420">N31/$Z31</f>
        <v>2.5003425469289297E-3</v>
      </c>
      <c r="R31">
        <v>4495</v>
      </c>
      <c r="S31" s="3">
        <f t="shared" ref="S31" si="421">R31-R30</f>
        <v>1950</v>
      </c>
      <c r="T31" s="18">
        <f t="shared" ref="T31" si="422">S31/R30</f>
        <v>0.76620825147347738</v>
      </c>
      <c r="U31" s="20">
        <f t="shared" ref="U31" si="423">R31/$Z31</f>
        <v>0.44956158993782153</v>
      </c>
      <c r="V31">
        <v>27.5</v>
      </c>
      <c r="W31" s="3">
        <f t="shared" ref="W31" si="424">V31-V30</f>
        <v>-91.19</v>
      </c>
      <c r="X31" s="18">
        <f t="shared" ref="X31" si="425">W31/V30</f>
        <v>-0.76830398517145504</v>
      </c>
      <c r="Y31" s="20">
        <f t="shared" ref="Y31" si="426">V31/$Z31</f>
        <v>2.7503768016218224E-3</v>
      </c>
      <c r="Z31" s="19">
        <f t="shared" ref="Z31" si="427">B31+F31+N31+R31+V31+J31</f>
        <v>9998.6299999999992</v>
      </c>
      <c r="AA31" s="3">
        <f t="shared" ref="AA31" si="428">Z31-Z30</f>
        <v>1502.2699999999986</v>
      </c>
      <c r="AB31" s="16">
        <f t="shared" ref="AB31" si="429">AA31/Z30</f>
        <v>0.17681336478209475</v>
      </c>
    </row>
    <row r="32" spans="1:28" x14ac:dyDescent="0.2">
      <c r="A32" s="1">
        <v>46096</v>
      </c>
      <c r="B32">
        <v>1623.22</v>
      </c>
      <c r="C32" s="3">
        <f t="shared" ref="C32" si="430">B32-B31</f>
        <v>-292.14999999999986</v>
      </c>
      <c r="D32" s="18">
        <f t="shared" ref="D32" si="431">C32/B31</f>
        <v>-0.15252927632781127</v>
      </c>
      <c r="E32" s="20">
        <f t="shared" ref="E32" si="432">B32/$Z32</f>
        <v>0.14973635951042938</v>
      </c>
      <c r="F32">
        <v>502</v>
      </c>
      <c r="G32" s="3">
        <f t="shared" ref="G32" si="433">F32-F31</f>
        <v>-10.529999999999973</v>
      </c>
      <c r="H32" s="18">
        <f t="shared" ref="H32" si="434">G32/F31</f>
        <v>-2.0545138821142124E-2</v>
      </c>
      <c r="I32" s="20">
        <f t="shared" ref="I32" si="435">F32/$Z32</f>
        <v>4.6307741695047838E-2</v>
      </c>
      <c r="J32">
        <v>2502.36</v>
      </c>
      <c r="K32" s="3">
        <f t="shared" ref="K32" si="436">J32-J31</f>
        <v>-520.86999999999989</v>
      </c>
      <c r="L32" s="18">
        <f t="shared" ref="L32" si="437">K32/J31</f>
        <v>-0.17228924031582113</v>
      </c>
      <c r="M32" s="20">
        <f t="shared" ref="M32" si="438">J32/$Z32</f>
        <v>0.23083394523509942</v>
      </c>
      <c r="N32">
        <v>25</v>
      </c>
      <c r="O32" s="3">
        <f t="shared" ref="O32" si="439">N32-N31</f>
        <v>0</v>
      </c>
      <c r="P32" s="18">
        <f t="shared" ref="P32" si="440">O32/N31</f>
        <v>0</v>
      </c>
      <c r="Q32" s="20">
        <f t="shared" ref="Q32" si="441">N32/$Z32</f>
        <v>2.3061624350123426E-3</v>
      </c>
      <c r="R32">
        <v>6040</v>
      </c>
      <c r="S32" s="3">
        <f t="shared" ref="S32" si="442">R32-R31</f>
        <v>1545</v>
      </c>
      <c r="T32" s="18">
        <f t="shared" ref="T32" si="443">S32/R31</f>
        <v>0.34371523915461621</v>
      </c>
      <c r="U32" s="20">
        <f t="shared" ref="U32" si="444">R32/$Z32</f>
        <v>0.55716884429898195</v>
      </c>
      <c r="V32">
        <v>147.94</v>
      </c>
      <c r="W32" s="3">
        <f t="shared" ref="W32" si="445">V32-V31</f>
        <v>120.44</v>
      </c>
      <c r="X32" s="18">
        <f t="shared" ref="X32" si="446">W32/V31</f>
        <v>4.3796363636363633</v>
      </c>
      <c r="Y32" s="20">
        <f t="shared" ref="Y32" si="447">V32/$Z32</f>
        <v>1.3646946825429038E-2</v>
      </c>
      <c r="Z32" s="19">
        <f t="shared" ref="Z32" si="448">B32+F32+N32+R32+V32+J32</f>
        <v>10840.52</v>
      </c>
      <c r="AA32" s="3">
        <f t="shared" ref="AA32" si="449">Z32-Z31</f>
        <v>841.89000000000124</v>
      </c>
      <c r="AB32" s="16">
        <f t="shared" ref="AB32" si="450">AA32/Z31</f>
        <v>8.4200535473359983E-2</v>
      </c>
    </row>
    <row r="33" spans="1:28" x14ac:dyDescent="0.2">
      <c r="A33" s="1">
        <v>46127</v>
      </c>
      <c r="B33">
        <v>649.05999999999995</v>
      </c>
      <c r="C33" s="3">
        <f t="shared" ref="C33" si="451">B33-B32</f>
        <v>-974.16000000000008</v>
      </c>
      <c r="D33" s="18">
        <f t="shared" ref="D33" si="452">C33/B32</f>
        <v>-0.60014046155173051</v>
      </c>
      <c r="E33" s="20">
        <f t="shared" ref="E33" si="453">B33/$Z33</f>
        <v>6.4332858563061673E-2</v>
      </c>
      <c r="F33">
        <v>502.43</v>
      </c>
      <c r="G33" s="3">
        <f t="shared" ref="G33" si="454">F33-F32</f>
        <v>0.43000000000000682</v>
      </c>
      <c r="H33" s="18">
        <f t="shared" ref="H33" si="455">G33/F32</f>
        <v>8.5657370517929648E-4</v>
      </c>
      <c r="I33" s="20">
        <f t="shared" ref="I33" si="456">F33/$Z33</f>
        <v>4.9799337700426896E-2</v>
      </c>
      <c r="J33">
        <v>2278.31</v>
      </c>
      <c r="K33" s="3">
        <f t="shared" ref="K33" si="457">J33-J32</f>
        <v>-224.05000000000018</v>
      </c>
      <c r="L33" s="18">
        <f t="shared" ref="L33" si="458">K33/J32</f>
        <v>-8.9535478508288247E-2</v>
      </c>
      <c r="M33" s="20">
        <f t="shared" ref="M33" si="459">J33/$Z33</f>
        <v>0.2258191769525299</v>
      </c>
      <c r="N33">
        <v>25</v>
      </c>
      <c r="O33" s="3">
        <f t="shared" ref="O33" si="460">N33-N32</f>
        <v>0</v>
      </c>
      <c r="P33" s="18">
        <f t="shared" ref="P33" si="461">O33/N32</f>
        <v>0</v>
      </c>
      <c r="Q33" s="20">
        <f t="shared" ref="Q33" si="462">N33/$Z33</f>
        <v>2.4779241735379503E-3</v>
      </c>
      <c r="R33">
        <v>6455</v>
      </c>
      <c r="S33" s="3">
        <f t="shared" ref="S33" si="463">R33-R32</f>
        <v>415</v>
      </c>
      <c r="T33" s="18">
        <f t="shared" ref="T33" si="464">S33/R32</f>
        <v>6.8708609271523183E-2</v>
      </c>
      <c r="U33" s="20">
        <f t="shared" ref="U33" si="465">R33/$Z33</f>
        <v>0.63980002160749883</v>
      </c>
      <c r="V33">
        <v>179.29</v>
      </c>
      <c r="W33" s="3">
        <f t="shared" ref="W33" si="466">V33-V32</f>
        <v>31.349999999999994</v>
      </c>
      <c r="X33" s="18">
        <f t="shared" ref="X33" si="467">W33/V32</f>
        <v>0.21191023387859939</v>
      </c>
      <c r="Y33" s="20">
        <f t="shared" ref="Y33" si="468">V33/$Z33</f>
        <v>1.7770681002944762E-2</v>
      </c>
      <c r="Z33" s="19">
        <f t="shared" ref="Z33:Z35" si="469">B33+F33+N33+R33+V33+J33</f>
        <v>10089.09</v>
      </c>
      <c r="AA33" s="3">
        <f t="shared" ref="AA33" si="470">Z33-Z32</f>
        <v>-751.43000000000029</v>
      </c>
      <c r="AB33" s="16">
        <f t="shared" ref="AB33" si="471">AA33/Z32</f>
        <v>-6.9316785541653006E-2</v>
      </c>
    </row>
    <row r="34" spans="1:28" x14ac:dyDescent="0.2">
      <c r="A34" s="1">
        <v>46143</v>
      </c>
      <c r="B34">
        <v>1562.83</v>
      </c>
      <c r="C34" s="3">
        <f t="shared" ref="C34" si="472">B34-B33</f>
        <v>913.77</v>
      </c>
      <c r="D34" s="18">
        <f t="shared" ref="D34" si="473">C34/B33</f>
        <v>1.407835947370043</v>
      </c>
      <c r="E34" s="20">
        <f t="shared" ref="E34" si="474">B34/$Z34</f>
        <v>0.14044312243605009</v>
      </c>
      <c r="F34">
        <v>382.63</v>
      </c>
      <c r="G34" s="3">
        <f t="shared" ref="G34" si="475">F34-F33</f>
        <v>-119.80000000000001</v>
      </c>
      <c r="H34" s="18">
        <f t="shared" ref="H34" si="476">G34/F33</f>
        <v>-0.23844117588519795</v>
      </c>
      <c r="I34" s="20">
        <f t="shared" ref="I34" si="477">F34/$Z34</f>
        <v>3.438489914943138E-2</v>
      </c>
      <c r="J34">
        <v>3272.29</v>
      </c>
      <c r="K34" s="3">
        <f t="shared" ref="K34" si="478">J34-J33</f>
        <v>993.98</v>
      </c>
      <c r="L34" s="18">
        <f t="shared" ref="L34" si="479">K34/J33</f>
        <v>0.43627952297975253</v>
      </c>
      <c r="M34" s="20">
        <f t="shared" ref="M34" si="480">J34/$Z34</f>
        <v>0.29406309394896585</v>
      </c>
      <c r="N34">
        <v>25</v>
      </c>
      <c r="O34" s="3">
        <f t="shared" ref="O34" si="481">N34-N33</f>
        <v>0</v>
      </c>
      <c r="P34" s="18">
        <f t="shared" ref="P34" si="482">O34/N33</f>
        <v>0</v>
      </c>
      <c r="Q34" s="20">
        <f t="shared" ref="Q34" si="483">N34/$Z34</f>
        <v>2.2466154737887374E-3</v>
      </c>
      <c r="R34">
        <v>4905</v>
      </c>
      <c r="S34" s="3">
        <f t="shared" ref="S34" si="484">R34-R33</f>
        <v>-1550</v>
      </c>
      <c r="T34" s="18">
        <f t="shared" ref="T34" si="485">S34/R33</f>
        <v>-0.24012393493415957</v>
      </c>
      <c r="U34" s="20">
        <f t="shared" ref="U34" si="486">R34/$Z34</f>
        <v>0.44078595595735026</v>
      </c>
      <c r="V34">
        <v>980.1</v>
      </c>
      <c r="W34" s="3">
        <f t="shared" ref="W34" si="487">V34-V33</f>
        <v>800.81000000000006</v>
      </c>
      <c r="X34" s="18">
        <f t="shared" ref="X34" si="488">W34/V33</f>
        <v>4.4665625522895871</v>
      </c>
      <c r="Y34" s="20">
        <f t="shared" ref="Y34" si="489">V34/$Z34</f>
        <v>8.8076313034413656E-2</v>
      </c>
      <c r="Z34" s="19">
        <f t="shared" si="469"/>
        <v>11127.85</v>
      </c>
      <c r="AA34" s="3">
        <f t="shared" ref="AA34" si="490">Z34-Z33</f>
        <v>1038.7600000000002</v>
      </c>
      <c r="AB34" s="16">
        <f t="shared" ref="AB34" si="491">AA34/Z33</f>
        <v>0.10295874058017128</v>
      </c>
    </row>
    <row r="35" spans="1:28" x14ac:dyDescent="0.2">
      <c r="A35" s="1">
        <v>46157</v>
      </c>
      <c r="B35">
        <v>876.75</v>
      </c>
      <c r="C35" s="3">
        <f t="shared" ref="C35" si="492">B35-B34</f>
        <v>-686.07999999999993</v>
      </c>
      <c r="D35" s="18">
        <f t="shared" ref="D35" si="493">C35/B34</f>
        <v>-0.43899848352028048</v>
      </c>
      <c r="E35" s="20">
        <f t="shared" ref="E35" si="494">B35/$Z35</f>
        <v>0.11685684087343741</v>
      </c>
      <c r="F35">
        <v>256.35000000000002</v>
      </c>
      <c r="G35" s="3">
        <f t="shared" ref="G35" si="495">F35-F34</f>
        <v>-126.27999999999997</v>
      </c>
      <c r="H35" s="18">
        <f t="shared" ref="H35" si="496">G35/F34</f>
        <v>-0.33003162323916047</v>
      </c>
      <c r="I35" s="20">
        <f t="shared" ref="I35" si="497">F35/$Z35</f>
        <v>3.4167380847340383E-2</v>
      </c>
      <c r="J35">
        <v>3406.93</v>
      </c>
      <c r="K35" s="3">
        <f t="shared" ref="K35" si="498">J35-J34</f>
        <v>134.63999999999987</v>
      </c>
      <c r="L35" s="18">
        <f t="shared" ref="L35" si="499">K35/J34</f>
        <v>4.1145497495637576E-2</v>
      </c>
      <c r="M35" s="20">
        <f t="shared" ref="M35" si="500">J35/$Z35</f>
        <v>0.45408962289927585</v>
      </c>
      <c r="N35">
        <v>25</v>
      </c>
      <c r="R35">
        <v>2135</v>
      </c>
      <c r="S35" s="3">
        <f t="shared" ref="S35" si="501">R35-R34</f>
        <v>-2770</v>
      </c>
      <c r="T35" s="18">
        <f t="shared" ref="T35" si="502">S35/R34</f>
        <v>-0.56472986748216103</v>
      </c>
      <c r="U35" s="20">
        <f t="shared" ref="U35" si="503">R35/$Z35</f>
        <v>0.28456156859399928</v>
      </c>
      <c r="V35">
        <v>802.74</v>
      </c>
      <c r="W35" s="3">
        <f t="shared" ref="W35" si="504">V35-V34</f>
        <v>-177.36</v>
      </c>
      <c r="X35" s="18">
        <f t="shared" ref="X35" si="505">W35/V34</f>
        <v>-0.18096112641567189</v>
      </c>
      <c r="Y35" s="20">
        <f t="shared" ref="Y35" si="506">V35/$Z35</f>
        <v>0.10699248410920233</v>
      </c>
      <c r="Z35" s="19">
        <f t="shared" si="469"/>
        <v>7502.77</v>
      </c>
      <c r="AA35" s="3">
        <f t="shared" ref="AA35" si="507">Z35-Z34</f>
        <v>-3625.08</v>
      </c>
      <c r="AB35" s="16">
        <f t="shared" ref="AB35" si="508">AA35/Z34</f>
        <v>-0.32576643286888302</v>
      </c>
    </row>
    <row r="36" spans="1:28" x14ac:dyDescent="0.2">
      <c r="D36" t="s">
        <v>11</v>
      </c>
    </row>
    <row r="38" spans="1:28" x14ac:dyDescent="0.2">
      <c r="O38" t="s">
        <v>12</v>
      </c>
    </row>
  </sheetData>
  <mergeCells count="7">
    <mergeCell ref="Z1:AB1"/>
    <mergeCell ref="B1:E1"/>
    <mergeCell ref="F1:I1"/>
    <mergeCell ref="J1:M1"/>
    <mergeCell ref="N1:Q1"/>
    <mergeCell ref="R1:U1"/>
    <mergeCell ref="V1:Y1"/>
  </mergeCells>
  <conditionalFormatting sqref="O4:P61 AA4:AB61 C4:D61 G4:H61 K4:L61 S4:T61 W4:X6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3</xdr:col>
                    <xdr:colOff>571500</xdr:colOff>
                    <xdr:row>0</xdr:row>
                    <xdr:rowOff>12700</xdr:rowOff>
                  </from>
                  <to>
                    <xdr:col>4</xdr:col>
                    <xdr:colOff>0</xdr:colOff>
                    <xdr:row>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7</xdr:col>
                    <xdr:colOff>584200</xdr:colOff>
                    <xdr:row>0</xdr:row>
                    <xdr:rowOff>12700</xdr:rowOff>
                  </from>
                  <to>
                    <xdr:col>8</xdr:col>
                    <xdr:colOff>12700</xdr:colOff>
                    <xdr:row>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11</xdr:col>
                    <xdr:colOff>584200</xdr:colOff>
                    <xdr:row>0</xdr:row>
                    <xdr:rowOff>12700</xdr:rowOff>
                  </from>
                  <to>
                    <xdr:col>12</xdr:col>
                    <xdr:colOff>12700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15</xdr:col>
                    <xdr:colOff>469900</xdr:colOff>
                    <xdr:row>0</xdr:row>
                    <xdr:rowOff>0</xdr:rowOff>
                  </from>
                  <to>
                    <xdr:col>15</xdr:col>
                    <xdr:colOff>723900</xdr:colOff>
                    <xdr:row>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19</xdr:col>
                    <xdr:colOff>419100</xdr:colOff>
                    <xdr:row>0</xdr:row>
                    <xdr:rowOff>0</xdr:rowOff>
                  </from>
                  <to>
                    <xdr:col>19</xdr:col>
                    <xdr:colOff>673100</xdr:colOff>
                    <xdr:row>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23</xdr:col>
                    <xdr:colOff>419100</xdr:colOff>
                    <xdr:row>0</xdr:row>
                    <xdr:rowOff>0</xdr:rowOff>
                  </from>
                  <to>
                    <xdr:col>23</xdr:col>
                    <xdr:colOff>673100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 Mikhalev</dc:creator>
  <cp:lastModifiedBy>Stepan</cp:lastModifiedBy>
  <dcterms:created xsi:type="dcterms:W3CDTF">2024-10-21T08:07:57Z</dcterms:created>
  <dcterms:modified xsi:type="dcterms:W3CDTF">2026-05-16T18:50:37Z</dcterms:modified>
</cp:coreProperties>
</file>